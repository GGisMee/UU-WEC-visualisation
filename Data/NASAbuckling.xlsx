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92E293B-1E26-48A5-B3DA-7FEDCAD03851}" xr6:coauthVersionLast="47" xr6:coauthVersionMax="47" xr10:uidLastSave="{00000000-0000-0000-0000-000000000000}"/>
  <bookViews>
    <workbookView xWindow="7515" yWindow="720" windowWidth="27705" windowHeight="19110" xr2:uid="{58CC1DE8-DCCE-4752-B755-0966D626907D}"/>
  </bookViews>
  <sheets>
    <sheet name="Sheet1" sheetId="1" r:id="rId1"/>
  </sheets>
  <externalReferences>
    <externalReference r:id="rId2"/>
  </externalReferences>
  <definedNames>
    <definedName name="AxDia">[1]WEC!$D$14</definedName>
    <definedName name="AxuEmd">[1]Matls!$AA$33</definedName>
    <definedName name="Fii" localSheetId="0">Sheet1!$AC$15</definedName>
    <definedName name="FiiT" localSheetId="0">Sheet1!$AG$15</definedName>
    <definedName name="Gam" localSheetId="0">Sheet1!$AC$16</definedName>
    <definedName name="GamT" localSheetId="0">Sheet1!$AG$16</definedName>
    <definedName name="iiAD_t" localSheetId="0">Sheet1!$AG$17</definedName>
    <definedName name="l" localSheetId="0">Sheet1!$AC$12</definedName>
    <definedName name="MaEmd">[1]Matls!$AA$23</definedName>
    <definedName name="MaSig">[1]Matls!$Y$23</definedName>
    <definedName name="MaThHead">Sheet1!$N$50</definedName>
    <definedName name="MaThMel">Sheet1!$N$53</definedName>
    <definedName name="MaThT1">Sheet1!$N$57</definedName>
    <definedName name="MbasD">[1]WEC!$D$65</definedName>
    <definedName name="MDia">[1]WEC!$D$11</definedName>
    <definedName name="MTop">[1]WEC!$D$12</definedName>
    <definedName name="r_" localSheetId="0">Sheet1!$AC$13</definedName>
    <definedName name="t" localSheetId="0">Sheet1!$AC$14</definedName>
    <definedName name="t_t" localSheetId="0">Sheet1!$AG$14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9" i="1" l="1"/>
  <c r="AF40" i="1" s="1"/>
  <c r="AF41" i="1" s="1"/>
  <c r="AG42" i="1" s="1"/>
  <c r="AB39" i="1"/>
  <c r="AB40" i="1" s="1"/>
  <c r="AB41" i="1" s="1"/>
  <c r="AC42" i="1" s="1"/>
  <c r="AJ35" i="1"/>
  <c r="AF35" i="1"/>
  <c r="AB35" i="1"/>
  <c r="AJ34" i="1"/>
  <c r="AF34" i="1"/>
  <c r="AB34" i="1"/>
  <c r="AJ39" i="1"/>
  <c r="AJ40" i="1" s="1"/>
  <c r="AJ41" i="1" s="1"/>
  <c r="AK42" i="1" s="1"/>
  <c r="AJ32" i="1"/>
  <c r="AJ38" i="1" s="1"/>
  <c r="AK38" i="1" s="1"/>
  <c r="AF32" i="1"/>
  <c r="AF38" i="1" s="1"/>
  <c r="AG38" i="1" s="1"/>
  <c r="AB32" i="1"/>
  <c r="AB38" i="1" s="1"/>
  <c r="AC38" i="1" s="1"/>
  <c r="AJ15" i="1"/>
  <c r="AJ16" i="1" s="1"/>
  <c r="AJ18" i="1" s="1"/>
  <c r="AG15" i="1"/>
  <c r="AG16" i="1" s="1"/>
  <c r="AG18" i="1" s="1"/>
  <c r="AC15" i="1" l="1"/>
  <c r="AC16" i="1" s="1"/>
  <c r="AC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 Bernhoff</author>
  </authors>
  <commentList>
    <comment ref="AE17" authorId="0" shapeId="0" xr:uid="{9E26EC4D-C394-4843-B4C0-44B09DDFC8DA}">
      <text>
        <r>
          <rPr>
            <b/>
            <sz val="9"/>
            <color indexed="81"/>
            <rFont val="Tahoma"/>
            <family val="2"/>
          </rPr>
          <t>Hans Bernhoff:</t>
        </r>
        <r>
          <rPr>
            <sz val="9"/>
            <color indexed="81"/>
            <rFont val="Tahoma"/>
            <family val="2"/>
          </rPr>
          <t xml:space="preserve">
Skenbar densitet för träburen -dvs det är glesa stavar i längsriktning med luft emellan
</t>
        </r>
      </text>
    </comment>
  </commentList>
</comments>
</file>

<file path=xl/sharedStrings.xml><?xml version="1.0" encoding="utf-8"?>
<sst xmlns="http://schemas.openxmlformats.org/spreadsheetml/2006/main" count="102" uniqueCount="50">
  <si>
    <t xml:space="preserve"> Torsion thin walled shaft</t>
  </si>
  <si>
    <t>From paper: NASA Space Vehicle Design Criteria "NASA SP-8007" Buckling of thin-walled circular cylinders</t>
  </si>
  <si>
    <t xml:space="preserve"> </t>
  </si>
  <si>
    <t>Al axel:</t>
  </si>
  <si>
    <t>Paper: https://shellbuckling.com/papers/classicNASAReports/NASASP-8007.pdf</t>
  </si>
  <si>
    <t>Gamma relaterar classical theory till predicted buckling loads</t>
  </si>
  <si>
    <t>Använder Gamma för bending (sidan 7 ekv 9 och 10)</t>
  </si>
  <si>
    <t>Poissans ratio Al</t>
  </si>
  <si>
    <t>First check shaft:</t>
  </si>
  <si>
    <t>2nd check</t>
  </si>
  <si>
    <t>Längd</t>
  </si>
  <si>
    <t>l</t>
  </si>
  <si>
    <t>m</t>
  </si>
  <si>
    <t>radie</t>
  </si>
  <si>
    <t>r</t>
  </si>
  <si>
    <t>tjocklek</t>
  </si>
  <si>
    <t>t</t>
  </si>
  <si>
    <t xml:space="preserve">tjocklek </t>
  </si>
  <si>
    <t>t2nd</t>
  </si>
  <si>
    <t>Fii</t>
  </si>
  <si>
    <t>.</t>
  </si>
  <si>
    <t>Fii trät</t>
  </si>
  <si>
    <t>FiiT</t>
  </si>
  <si>
    <t>Fii2nd</t>
  </si>
  <si>
    <t>Gamma</t>
  </si>
  <si>
    <t>Gam</t>
  </si>
  <si>
    <t>Gamma trä</t>
  </si>
  <si>
    <t>GamT</t>
  </si>
  <si>
    <t>Gam2nd</t>
  </si>
  <si>
    <t>App Dens trä</t>
  </si>
  <si>
    <t>AD_t</t>
  </si>
  <si>
    <t xml:space="preserve"> Tau Max</t>
  </si>
  <si>
    <t>Tau</t>
  </si>
  <si>
    <t>Pa</t>
  </si>
  <si>
    <t>Tau2</t>
  </si>
  <si>
    <t xml:space="preserve">Buckling Mast Head </t>
  </si>
  <si>
    <t>Buckling Melmast</t>
  </si>
  <si>
    <t xml:space="preserve">Buckling MastT1 </t>
  </si>
  <si>
    <t>r =</t>
  </si>
  <si>
    <t>t =</t>
  </si>
  <si>
    <t>Sig</t>
  </si>
  <si>
    <t>MPa</t>
  </si>
  <si>
    <t>E =</t>
  </si>
  <si>
    <t>μ =</t>
  </si>
  <si>
    <t>η =</t>
  </si>
  <si>
    <t>r / t =</t>
  </si>
  <si>
    <t>φ =</t>
  </si>
  <si>
    <t xml:space="preserve"> γ =</t>
  </si>
  <si>
    <r>
      <t>Sigma  F</t>
    </r>
    <r>
      <rPr>
        <vertAlign val="subscript"/>
        <sz val="10"/>
        <rFont val="Calibri"/>
        <family val="2"/>
        <scheme val="minor"/>
      </rPr>
      <t>cr</t>
    </r>
    <r>
      <rPr>
        <sz val="10"/>
        <rFont val="Calibri"/>
        <family val="2"/>
        <scheme val="minor"/>
      </rPr>
      <t xml:space="preserve"> =</t>
    </r>
  </si>
  <si>
    <t>Vs 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</si>
</sst>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CC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bscript"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E68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2" fillId="0" borderId="1" xfId="0" applyFont="1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3" fillId="0" borderId="0" xfId="0" applyFont="1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0" fontId="0" fillId="2" borderId="0" xfId="0" applyNumberFormat="1" applyFill="1"/>
    <xf numFmtId="11" fontId="0" fillId="3" borderId="0" xfId="0" applyNumberFormat="1" applyFill="1"/>
    <xf numFmtId="0" fontId="7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166" fontId="8" fillId="2" borderId="0" xfId="0" applyNumberFormat="1" applyFont="1" applyFill="1"/>
    <xf numFmtId="0" fontId="3" fillId="0" borderId="0" xfId="1" applyFont="1"/>
    <xf numFmtId="165" fontId="8" fillId="2" borderId="0" xfId="0" applyNumberFormat="1" applyFont="1" applyFill="1"/>
    <xf numFmtId="0" fontId="3" fillId="2" borderId="0" xfId="1" applyFont="1" applyFill="1"/>
    <xf numFmtId="0" fontId="7" fillId="0" borderId="0" xfId="1" applyFont="1"/>
    <xf numFmtId="0" fontId="7" fillId="0" borderId="0" xfId="0" applyFont="1" applyAlignment="1" applyProtection="1">
      <alignment horizontal="right" vertical="center"/>
      <protection locked="0"/>
    </xf>
    <xf numFmtId="3" fontId="7" fillId="2" borderId="0" xfId="0" applyNumberFormat="1" applyFont="1" applyFill="1"/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right"/>
      <protection locked="0"/>
    </xf>
    <xf numFmtId="0" fontId="8" fillId="4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>
      <alignment horizontal="right"/>
    </xf>
    <xf numFmtId="164" fontId="9" fillId="4" borderId="0" xfId="0" applyNumberFormat="1" applyFont="1" applyFill="1"/>
    <xf numFmtId="0" fontId="7" fillId="0" borderId="0" xfId="0" applyFont="1"/>
    <xf numFmtId="3" fontId="7" fillId="0" borderId="0" xfId="0" applyNumberFormat="1" applyFont="1" applyAlignment="1" applyProtection="1">
      <alignment horizontal="center"/>
      <protection locked="0"/>
    </xf>
    <xf numFmtId="165" fontId="10" fillId="0" borderId="0" xfId="0" applyNumberFormat="1" applyFont="1"/>
    <xf numFmtId="165" fontId="7" fillId="0" borderId="0" xfId="0" applyNumberFormat="1" applyFont="1"/>
    <xf numFmtId="166" fontId="7" fillId="5" borderId="0" xfId="0" applyNumberFormat="1" applyFont="1" applyFill="1"/>
    <xf numFmtId="0" fontId="7" fillId="0" borderId="0" xfId="1" applyFont="1" applyAlignment="1">
      <alignment horizontal="right"/>
    </xf>
    <xf numFmtId="2" fontId="7" fillId="6" borderId="0" xfId="1" applyNumberFormat="1" applyFont="1" applyFill="1" applyAlignment="1">
      <alignment horizontal="left"/>
    </xf>
  </cellXfs>
  <cellStyles count="2">
    <cellStyle name="Normal" xfId="0" builtinId="0"/>
    <cellStyle name="Normal 2 2" xfId="1" xr:uid="{1C6E1490-83F7-42C3-9DF5-FB2ABCFDD4A6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Crft\1.2MW\Cracen054v03d34Tw.xlsm" TargetMode="External"/><Relationship Id="rId1" Type="http://schemas.openxmlformats.org/officeDocument/2006/relationships/externalLinkPath" Target="file:///Q:\Crft\1.2MW\Cracen054v03d34T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C"/>
      <sheetName val="BEdim"/>
      <sheetName val="Tilt3"/>
      <sheetName val="Dim3p"/>
      <sheetName val="RörDes"/>
      <sheetName val="Swept"/>
      <sheetName val="Mooring"/>
      <sheetName val="Meck"/>
      <sheetName val="Airfoil"/>
      <sheetName val="Matls"/>
      <sheetName val="Gen&amp;Bal"/>
      <sheetName val="Enrg"/>
      <sheetName val="Hawt"/>
      <sheetName val="Draw"/>
      <sheetName val="Model"/>
      <sheetName val="Report"/>
      <sheetName val="Camp"/>
      <sheetName val="Bearings"/>
      <sheetName val="Global"/>
      <sheetName val=".                 GScale"/>
    </sheetNames>
    <sheetDataSet>
      <sheetData sheetId="0">
        <row r="11">
          <cell r="D11">
            <v>3</v>
          </cell>
        </row>
        <row r="12">
          <cell r="D12">
            <v>1.8</v>
          </cell>
        </row>
        <row r="14">
          <cell r="D14">
            <v>0.6</v>
          </cell>
        </row>
        <row r="65">
          <cell r="D65">
            <v>4.2960000000000003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3">
          <cell r="Y23">
            <v>20</v>
          </cell>
          <cell r="AA23">
            <v>12000</v>
          </cell>
        </row>
        <row r="33">
          <cell r="AA33">
            <v>70000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1FC0-1929-45AE-811D-75D8255BB051}">
  <sheetPr codeName="Sheet1"/>
  <dimension ref="Z3:AK42"/>
  <sheetViews>
    <sheetView tabSelected="1" workbookViewId="0">
      <selection activeCell="AL25" sqref="AL25"/>
    </sheetView>
  </sheetViews>
  <sheetFormatPr defaultRowHeight="15" x14ac:dyDescent="0.25"/>
  <cols>
    <col min="1" max="24" width="1.7109375" customWidth="1"/>
  </cols>
  <sheetData>
    <row r="3" spans="26:37" ht="15.75" thickBot="1" x14ac:dyDescent="0.3"/>
    <row r="4" spans="26:37" ht="15.75" x14ac:dyDescent="0.25">
      <c r="Z4" s="1" t="s">
        <v>0</v>
      </c>
      <c r="AA4" s="2"/>
      <c r="AB4" s="2"/>
      <c r="AC4" s="2"/>
      <c r="AD4" s="3" t="s">
        <v>1</v>
      </c>
      <c r="AE4" s="2"/>
      <c r="AF4" s="2"/>
      <c r="AG4" s="2"/>
      <c r="AH4" s="2"/>
      <c r="AI4" s="2"/>
      <c r="AJ4" t="s">
        <v>2</v>
      </c>
    </row>
    <row r="5" spans="26:37" x14ac:dyDescent="0.25">
      <c r="Z5" s="4" t="s">
        <v>3</v>
      </c>
      <c r="AD5" s="5" t="s">
        <v>4</v>
      </c>
      <c r="AJ5" t="s">
        <v>2</v>
      </c>
    </row>
    <row r="6" spans="26:37" x14ac:dyDescent="0.25">
      <c r="Z6" s="4"/>
    </row>
    <row r="7" spans="26:37" x14ac:dyDescent="0.25">
      <c r="Z7" s="4"/>
      <c r="AC7" t="s">
        <v>5</v>
      </c>
    </row>
    <row r="8" spans="26:37" x14ac:dyDescent="0.25">
      <c r="Z8" s="4"/>
      <c r="AC8" t="s">
        <v>6</v>
      </c>
    </row>
    <row r="9" spans="26:37" x14ac:dyDescent="0.25">
      <c r="Z9" s="4"/>
      <c r="AB9" t="s">
        <v>7</v>
      </c>
      <c r="AC9">
        <v>0.33</v>
      </c>
    </row>
    <row r="10" spans="26:37" x14ac:dyDescent="0.25">
      <c r="Z10" s="4"/>
      <c r="AC10" s="6"/>
    </row>
    <row r="11" spans="26:37" x14ac:dyDescent="0.25">
      <c r="Z11" s="4"/>
      <c r="AA11" s="7" t="s">
        <v>8</v>
      </c>
      <c r="AI11" s="7" t="s">
        <v>9</v>
      </c>
    </row>
    <row r="12" spans="26:37" x14ac:dyDescent="0.25">
      <c r="Z12" s="4"/>
      <c r="AA12" t="s">
        <v>10</v>
      </c>
      <c r="AB12" t="s">
        <v>11</v>
      </c>
      <c r="AC12" s="8">
        <v>20</v>
      </c>
      <c r="AD12" t="s">
        <v>12</v>
      </c>
      <c r="AG12" s="6"/>
      <c r="AI12" t="s">
        <v>11</v>
      </c>
      <c r="AJ12" s="8">
        <v>20</v>
      </c>
      <c r="AK12" t="s">
        <v>12</v>
      </c>
    </row>
    <row r="13" spans="26:37" x14ac:dyDescent="0.25">
      <c r="Z13" s="4"/>
      <c r="AA13" t="s">
        <v>13</v>
      </c>
      <c r="AB13" t="s">
        <v>14</v>
      </c>
      <c r="AC13" s="9">
        <v>0.3</v>
      </c>
      <c r="AD13" t="s">
        <v>12</v>
      </c>
      <c r="AI13" t="s">
        <v>14</v>
      </c>
      <c r="AJ13" s="9">
        <v>0.3</v>
      </c>
      <c r="AK13" t="s">
        <v>12</v>
      </c>
    </row>
    <row r="14" spans="26:37" x14ac:dyDescent="0.25">
      <c r="Z14" s="4"/>
      <c r="AA14" t="s">
        <v>15</v>
      </c>
      <c r="AB14" t="s">
        <v>16</v>
      </c>
      <c r="AC14" s="9">
        <v>1.49E-2</v>
      </c>
      <c r="AD14" t="s">
        <v>12</v>
      </c>
      <c r="AF14" t="s">
        <v>17</v>
      </c>
      <c r="AG14">
        <v>0.09</v>
      </c>
      <c r="AH14" t="s">
        <v>12</v>
      </c>
      <c r="AI14" t="s">
        <v>18</v>
      </c>
      <c r="AJ14" s="9">
        <v>1.61E-2</v>
      </c>
      <c r="AK14" t="s">
        <v>12</v>
      </c>
    </row>
    <row r="15" spans="26:37" x14ac:dyDescent="0.25">
      <c r="Z15" s="4"/>
      <c r="AA15" t="s">
        <v>19</v>
      </c>
      <c r="AB15" t="s">
        <v>19</v>
      </c>
      <c r="AC15" s="9">
        <f>1/16*SQRT(r_/t)</f>
        <v>0.28044487668534862</v>
      </c>
      <c r="AD15" t="s">
        <v>20</v>
      </c>
      <c r="AE15" t="s">
        <v>21</v>
      </c>
      <c r="AF15" t="s">
        <v>22</v>
      </c>
      <c r="AG15">
        <f>1/16*SQRT(r_/t_t)</f>
        <v>0.11410886614690961</v>
      </c>
      <c r="AI15" t="s">
        <v>23</v>
      </c>
      <c r="AJ15" s="9">
        <f>1/16*SQRT(AJ13/AJ14)</f>
        <v>0.26979115456357228</v>
      </c>
      <c r="AK15" t="s">
        <v>20</v>
      </c>
    </row>
    <row r="16" spans="26:37" x14ac:dyDescent="0.25">
      <c r="Z16" s="4"/>
      <c r="AA16" t="s">
        <v>24</v>
      </c>
      <c r="AB16" t="s">
        <v>25</v>
      </c>
      <c r="AC16" s="10">
        <f>1-0.731*(1-EXP(-Fii))</f>
        <v>0.82123218512438001</v>
      </c>
      <c r="AE16" t="s">
        <v>26</v>
      </c>
      <c r="AF16" t="s">
        <v>27</v>
      </c>
      <c r="AG16" s="10">
        <f>1-0.731*(1-EXP(-FiiT))</f>
        <v>0.92116956269777361</v>
      </c>
      <c r="AI16" t="s">
        <v>28</v>
      </c>
      <c r="AJ16" s="10">
        <f>1-0.731*(1-EXP(-AJ15))</f>
        <v>0.82714696463532189</v>
      </c>
    </row>
    <row r="17" spans="26:37" x14ac:dyDescent="0.25">
      <c r="Z17" s="4"/>
      <c r="AE17" t="s">
        <v>29</v>
      </c>
      <c r="AF17" t="s">
        <v>30</v>
      </c>
      <c r="AG17" s="11">
        <v>0.25</v>
      </c>
      <c r="AH17" t="s">
        <v>20</v>
      </c>
    </row>
    <row r="18" spans="26:37" x14ac:dyDescent="0.25">
      <c r="Z18" s="4"/>
      <c r="AA18" t="s">
        <v>31</v>
      </c>
      <c r="AB18" t="s">
        <v>32</v>
      </c>
      <c r="AC18" s="12">
        <f>0.747*Gam^0.75*AxuEmd*10^6/(r_/t)^1.25/(l/r_)^0.5</f>
        <v>129537350.41589898</v>
      </c>
      <c r="AD18" t="s">
        <v>33</v>
      </c>
      <c r="AE18" t="s">
        <v>31</v>
      </c>
      <c r="AF18" t="s">
        <v>32</v>
      </c>
      <c r="AG18" s="12">
        <f>0.747*GamT^0.75*AxuEmd/(r_/t_t)^1.25/(l/r_)^0.5*iiAD_t</f>
        <v>334.24162425160608</v>
      </c>
      <c r="AH18" t="s">
        <v>33</v>
      </c>
      <c r="AI18" t="s">
        <v>34</v>
      </c>
      <c r="AJ18" s="12">
        <f>0.747*AJ16^0.75*AxuEmd*10^6/(AJ13/AJ14)^1.25/(AJ12/AJ13)^0.5</f>
        <v>143476924.33027521</v>
      </c>
      <c r="AK18" t="s">
        <v>33</v>
      </c>
    </row>
    <row r="19" spans="26:37" x14ac:dyDescent="0.25">
      <c r="Z19" s="4"/>
    </row>
    <row r="31" spans="26:37" x14ac:dyDescent="0.25">
      <c r="AA31" s="13" t="s">
        <v>35</v>
      </c>
      <c r="AE31" t="s">
        <v>36</v>
      </c>
      <c r="AI31" t="s">
        <v>37</v>
      </c>
    </row>
    <row r="32" spans="26:37" x14ac:dyDescent="0.25">
      <c r="AA32" s="14" t="s">
        <v>38</v>
      </c>
      <c r="AB32" s="15">
        <f>MDia/2</f>
        <v>1.5</v>
      </c>
      <c r="AC32" s="16" t="s">
        <v>12</v>
      </c>
      <c r="AE32" s="14" t="s">
        <v>38</v>
      </c>
      <c r="AF32" s="15">
        <f>MbasD/2</f>
        <v>2.1480000000000001</v>
      </c>
      <c r="AG32" s="16" t="s">
        <v>12</v>
      </c>
      <c r="AI32" s="14" t="s">
        <v>38</v>
      </c>
      <c r="AJ32" s="15">
        <f>MTop/2</f>
        <v>0.9</v>
      </c>
      <c r="AK32" s="16" t="s">
        <v>12</v>
      </c>
    </row>
    <row r="33" spans="27:37" x14ac:dyDescent="0.25">
      <c r="AA33" s="14" t="s">
        <v>39</v>
      </c>
      <c r="AB33" s="17">
        <v>7.3126662262575446E-3</v>
      </c>
      <c r="AC33" s="16" t="s">
        <v>12</v>
      </c>
      <c r="AE33" s="14" t="s">
        <v>39</v>
      </c>
      <c r="AF33" s="17">
        <v>2.0195832089364919E-2</v>
      </c>
      <c r="AG33" s="16" t="s">
        <v>12</v>
      </c>
      <c r="AI33" s="14" t="s">
        <v>39</v>
      </c>
      <c r="AJ33" s="17">
        <v>3.4991817392225739E-2</v>
      </c>
      <c r="AK33" s="16" t="s">
        <v>12</v>
      </c>
    </row>
    <row r="34" spans="27:37" x14ac:dyDescent="0.25">
      <c r="AA34" s="14" t="s">
        <v>40</v>
      </c>
      <c r="AB34" s="18">
        <f>MaSig</f>
        <v>20</v>
      </c>
      <c r="AC34" s="19" t="s">
        <v>41</v>
      </c>
      <c r="AE34" s="14" t="s">
        <v>40</v>
      </c>
      <c r="AF34" s="18">
        <f>MaSig</f>
        <v>20</v>
      </c>
      <c r="AG34" s="19" t="s">
        <v>41</v>
      </c>
      <c r="AI34" s="14" t="s">
        <v>40</v>
      </c>
      <c r="AJ34" s="18">
        <f>MaSig</f>
        <v>20</v>
      </c>
      <c r="AK34" s="19" t="s">
        <v>41</v>
      </c>
    </row>
    <row r="35" spans="27:37" x14ac:dyDescent="0.25">
      <c r="AA35" s="20" t="s">
        <v>42</v>
      </c>
      <c r="AB35" s="21">
        <f>MaEmd</f>
        <v>12000</v>
      </c>
      <c r="AC35" s="22" t="s">
        <v>41</v>
      </c>
      <c r="AE35" s="20" t="s">
        <v>42</v>
      </c>
      <c r="AF35" s="21">
        <f>MaEmd</f>
        <v>12000</v>
      </c>
      <c r="AG35" s="22" t="s">
        <v>41</v>
      </c>
      <c r="AI35" s="20" t="s">
        <v>42</v>
      </c>
      <c r="AJ35" s="21">
        <f>MaEmd</f>
        <v>12000</v>
      </c>
      <c r="AK35" s="22" t="s">
        <v>41</v>
      </c>
    </row>
    <row r="36" spans="27:37" x14ac:dyDescent="0.25">
      <c r="AA36" s="23" t="s">
        <v>43</v>
      </c>
      <c r="AB36" s="24">
        <v>0.3</v>
      </c>
      <c r="AC36" s="25"/>
      <c r="AE36" s="23" t="s">
        <v>43</v>
      </c>
      <c r="AF36" s="24">
        <v>0.3</v>
      </c>
      <c r="AG36" s="25"/>
      <c r="AI36" s="23" t="s">
        <v>43</v>
      </c>
      <c r="AJ36" s="24">
        <v>0.3</v>
      </c>
      <c r="AK36" s="25"/>
    </row>
    <row r="37" spans="27:37" x14ac:dyDescent="0.25">
      <c r="AA37" s="26" t="s">
        <v>44</v>
      </c>
      <c r="AB37" s="27">
        <v>1</v>
      </c>
      <c r="AC37" s="28"/>
      <c r="AE37" s="26" t="s">
        <v>44</v>
      </c>
      <c r="AF37" s="27">
        <v>1</v>
      </c>
      <c r="AG37" s="28"/>
      <c r="AI37" s="26" t="s">
        <v>44</v>
      </c>
      <c r="AJ37" s="27">
        <v>1</v>
      </c>
      <c r="AK37" s="28"/>
    </row>
    <row r="38" spans="27:37" x14ac:dyDescent="0.25">
      <c r="AA38" s="26" t="s">
        <v>45</v>
      </c>
      <c r="AB38" s="29">
        <f>AB32/AB33</f>
        <v>205.12354230170652</v>
      </c>
      <c r="AC38" s="30" t="str">
        <f>IF(AB38&lt;1500,"r/t &lt; 1500, analysis is valid","r/t &gt; 1500, analysis is invvalid")</f>
        <v>r/t &lt; 1500, analysis is valid</v>
      </c>
      <c r="AE38" s="26" t="s">
        <v>45</v>
      </c>
      <c r="AF38" s="29">
        <f>AF32/AF33</f>
        <v>106.35857886395938</v>
      </c>
      <c r="AG38" s="30" t="str">
        <f>IF(AF38&lt;1500,"r/t &lt; 1500, analysis is valid","r/t &gt; 1500, analysis is invvalid")</f>
        <v>r/t &lt; 1500, analysis is valid</v>
      </c>
      <c r="AI38" s="26" t="s">
        <v>45</v>
      </c>
      <c r="AJ38" s="29">
        <f>AJ32/AJ33</f>
        <v>25.720298831919383</v>
      </c>
      <c r="AK38" s="30" t="str">
        <f>IF(AJ38&lt;1500,"r/t &lt; 1500, analysis is valid","r/t &gt; 1500, analysis is invvalid")</f>
        <v>r/t &lt; 1500, analysis is valid</v>
      </c>
    </row>
    <row r="39" spans="27:37" x14ac:dyDescent="0.25">
      <c r="AA39" s="26" t="s">
        <v>46</v>
      </c>
      <c r="AB39" s="31">
        <f>(1/16)*SQRT(AB32/AB33)</f>
        <v>0.89513341861201956</v>
      </c>
      <c r="AE39" s="26" t="s">
        <v>46</v>
      </c>
      <c r="AF39" s="31">
        <f>(1/16)*SQRT(AF32/AF33)</f>
        <v>0.64456434798035589</v>
      </c>
      <c r="AI39" s="26" t="s">
        <v>46</v>
      </c>
      <c r="AJ39" s="31">
        <f>(1/16)*SQRT(AJ32/AJ33)</f>
        <v>0.31696989969425343</v>
      </c>
    </row>
    <row r="40" spans="27:37" x14ac:dyDescent="0.25">
      <c r="AA40" s="26" t="s">
        <v>47</v>
      </c>
      <c r="AB40" s="31">
        <f>1-0.731*(1-EXP(-AB39))</f>
        <v>0.56765230617209206</v>
      </c>
      <c r="AC40" s="28"/>
      <c r="AE40" s="26" t="s">
        <v>47</v>
      </c>
      <c r="AF40" s="31">
        <f>1-0.731*(1-EXP(-AF39))</f>
        <v>0.65269543956708875</v>
      </c>
      <c r="AG40" s="28"/>
      <c r="AI40" s="26" t="s">
        <v>47</v>
      </c>
      <c r="AJ40" s="31">
        <f>1-0.731*(1-EXP(-AJ39))</f>
        <v>0.80142580793530016</v>
      </c>
      <c r="AK40" s="28"/>
    </row>
    <row r="41" spans="27:37" x14ac:dyDescent="0.25">
      <c r="AA41" s="26" t="s">
        <v>48</v>
      </c>
      <c r="AB41" s="32">
        <f>AB37*(AB40*AB35)/SQRT(3*(1-AB36^2))*(AB33/AB32)</f>
        <v>20.098646941634801</v>
      </c>
      <c r="AC41" s="28" t="s">
        <v>41</v>
      </c>
      <c r="AE41" s="26" t="s">
        <v>48</v>
      </c>
      <c r="AF41" s="32">
        <f>AF37*(AF40*AF35)/SQRT(3*(1-AF36^2))*(AF33/AF32)</f>
        <v>44.569521860043736</v>
      </c>
      <c r="AG41" s="28" t="s">
        <v>41</v>
      </c>
      <c r="AI41" s="26" t="s">
        <v>48</v>
      </c>
      <c r="AJ41" s="32">
        <f>AJ37*(AJ40*AJ35)/SQRT(3*(1-AJ36^2))*(AJ33/AJ32)</f>
        <v>226.30139759581638</v>
      </c>
      <c r="AK41" s="28" t="s">
        <v>41</v>
      </c>
    </row>
    <row r="42" spans="27:37" x14ac:dyDescent="0.25">
      <c r="AB42" s="33" t="s">
        <v>49</v>
      </c>
      <c r="AC42" s="34">
        <f>AB41/AB34</f>
        <v>1.00493234708174</v>
      </c>
      <c r="AD42" s="28"/>
      <c r="AF42" s="33" t="s">
        <v>49</v>
      </c>
      <c r="AG42" s="34">
        <f>AF41/AF34</f>
        <v>2.228476093002187</v>
      </c>
      <c r="AH42" s="28"/>
      <c r="AJ42" s="33" t="s">
        <v>49</v>
      </c>
      <c r="AK42" s="34">
        <f>AJ41/AJ34</f>
        <v>11.315069879790819</v>
      </c>
    </row>
  </sheetData>
  <conditionalFormatting sqref="AC18">
    <cfRule type="cellIs" dxfId="11" priority="11" operator="greaterThan">
      <formula>#REF!</formula>
    </cfRule>
  </conditionalFormatting>
  <conditionalFormatting sqref="AG18">
    <cfRule type="cellIs" dxfId="10" priority="12" operator="greaterThan">
      <formula>$H$7</formula>
    </cfRule>
  </conditionalFormatting>
  <conditionalFormatting sqref="AJ18">
    <cfRule type="cellIs" dxfId="9" priority="10" operator="greaterThan">
      <formula>#REF!</formula>
    </cfRule>
  </conditionalFormatting>
  <conditionalFormatting sqref="AC38">
    <cfRule type="duplicateValues" dxfId="8" priority="9"/>
  </conditionalFormatting>
  <conditionalFormatting sqref="AB38">
    <cfRule type="cellIs" dxfId="7" priority="8" operator="greaterThan">
      <formula>1500</formula>
    </cfRule>
  </conditionalFormatting>
  <conditionalFormatting sqref="AC42">
    <cfRule type="cellIs" dxfId="6" priority="7" operator="lessThan">
      <formula>1</formula>
    </cfRule>
  </conditionalFormatting>
  <conditionalFormatting sqref="AG38">
    <cfRule type="duplicateValues" dxfId="5" priority="6"/>
  </conditionalFormatting>
  <conditionalFormatting sqref="AF38">
    <cfRule type="cellIs" dxfId="4" priority="5" operator="greaterThan">
      <formula>1500</formula>
    </cfRule>
  </conditionalFormatting>
  <conditionalFormatting sqref="AG42">
    <cfRule type="cellIs" dxfId="3" priority="4" operator="lessThan">
      <formula>1</formula>
    </cfRule>
  </conditionalFormatting>
  <conditionalFormatting sqref="AK38">
    <cfRule type="duplicateValues" dxfId="2" priority="3"/>
  </conditionalFormatting>
  <conditionalFormatting sqref="AJ38">
    <cfRule type="cellIs" dxfId="1" priority="2" operator="greaterThan">
      <formula>1500</formula>
    </cfRule>
  </conditionalFormatting>
  <conditionalFormatting sqref="AK42">
    <cfRule type="cellIs" dxfId="0" priority="1" operator="lessThan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Sheet1!Fii</vt:lpstr>
      <vt:lpstr>Sheet1!FiiT</vt:lpstr>
      <vt:lpstr>Sheet1!Gam</vt:lpstr>
      <vt:lpstr>Sheet1!GamT</vt:lpstr>
      <vt:lpstr>Sheet1!iiAD_t</vt:lpstr>
      <vt:lpstr>Sheet1!l</vt:lpstr>
      <vt:lpstr>MaThHead</vt:lpstr>
      <vt:lpstr>MaThMel</vt:lpstr>
      <vt:lpstr>MaThT1</vt:lpstr>
      <vt:lpstr>Sheet1!r_</vt:lpstr>
      <vt:lpstr>Sheet1!t</vt:lpstr>
      <vt:lpstr>Sheet1!t_t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Bernhoff</dc:creator>
  <cp:lastModifiedBy>Hans Bernhoff</cp:lastModifiedBy>
  <dcterms:created xsi:type="dcterms:W3CDTF">2026-06-12T11:58:11Z</dcterms:created>
  <dcterms:modified xsi:type="dcterms:W3CDTF">2026-06-12T12:01:55Z</dcterms:modified>
</cp:coreProperties>
</file>