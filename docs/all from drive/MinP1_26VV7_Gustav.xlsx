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3AA3A8-23ED-4B69-926F-E6361D713378}" xr6:coauthVersionLast="47" xr6:coauthVersionMax="47" xr10:uidLastSave="{00000000-0000-0000-0000-000000000000}"/>
  <bookViews>
    <workbookView xWindow="11700" yWindow="-60" windowWidth="42120" windowHeight="21015" xr2:uid="{00000000-000D-0000-FFFF-FFFF00000000}"/>
  </bookViews>
  <sheets>
    <sheet name="Sheet1" sheetId="1" r:id="rId1"/>
    <sheet name="Weibul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Q14" i="1" s="1"/>
  <c r="H6" i="1"/>
  <c r="E10" i="1"/>
  <c r="F10" i="1" s="1"/>
  <c r="E9" i="1"/>
  <c r="F9" i="1" s="1"/>
  <c r="E8" i="1"/>
  <c r="F8" i="1" s="1"/>
  <c r="E7" i="1"/>
  <c r="F7" i="1" s="1"/>
  <c r="O6" i="1" l="1"/>
  <c r="L6" i="1"/>
  <c r="M6" i="1" s="1"/>
  <c r="K6" i="1"/>
  <c r="K9" i="1"/>
  <c r="K7" i="1"/>
  <c r="N6" i="1" l="1"/>
  <c r="K8" i="1"/>
  <c r="O8" i="1"/>
  <c r="L8" i="1"/>
  <c r="M8" i="1" s="1"/>
  <c r="O7" i="1"/>
  <c r="L7" i="1"/>
  <c r="M7" i="1" s="1"/>
  <c r="N9" i="1"/>
  <c r="N8" i="1"/>
  <c r="H8" i="1"/>
  <c r="G8" i="1"/>
  <c r="I6" i="1" l="1"/>
  <c r="I8" i="1"/>
  <c r="H9" i="1"/>
  <c r="G9" i="1"/>
  <c r="O9" i="1"/>
  <c r="L9" i="1"/>
  <c r="M9" i="1" s="1"/>
  <c r="N7" i="1"/>
  <c r="H7" i="1"/>
  <c r="J8" i="1"/>
  <c r="P8" i="1" s="1"/>
  <c r="G7" i="1"/>
  <c r="I7" i="1" s="1"/>
  <c r="J6" i="1" l="1"/>
  <c r="P6" i="1" s="1"/>
  <c r="Q6" i="1" s="1"/>
  <c r="Q8" i="1"/>
  <c r="I9" i="1"/>
  <c r="J9" i="1"/>
  <c r="P9" i="1" s="1"/>
  <c r="J7" i="1"/>
  <c r="P7" i="1" s="1"/>
  <c r="Q7" i="1" s="1"/>
  <c r="Q9" i="1" l="1"/>
  <c r="AA14" i="1"/>
  <c r="AC14" i="1" s="1"/>
  <c r="B6" i="2" l="1"/>
  <c r="B5" i="2"/>
  <c r="L10" i="1" l="1"/>
  <c r="W4" i="2"/>
  <c r="Z4" i="2" s="1"/>
  <c r="C7" i="2"/>
  <c r="C8" i="2" l="1"/>
  <c r="C9" i="2" l="1"/>
  <c r="C10" i="2"/>
  <c r="C11" i="2" l="1"/>
  <c r="C12" i="2" l="1"/>
  <c r="C13" i="2" l="1"/>
  <c r="C14" i="2" l="1"/>
  <c r="C15" i="2" l="1"/>
  <c r="C16" i="2" l="1"/>
  <c r="C17" i="2" l="1"/>
  <c r="C18" i="2" l="1"/>
  <c r="C19" i="2" l="1"/>
  <c r="C20" i="2" l="1"/>
  <c r="C21" i="2" l="1"/>
  <c r="C22" i="2" l="1"/>
  <c r="C23" i="2" l="1"/>
  <c r="C24" i="2" l="1"/>
  <c r="C25" i="2" l="1"/>
  <c r="C26" i="2" l="1"/>
  <c r="C27" i="2" l="1"/>
  <c r="C28" i="2" l="1"/>
  <c r="C29" i="2" l="1"/>
  <c r="C30" i="2" l="1"/>
  <c r="C31" i="2" l="1"/>
  <c r="C32" i="2" l="1"/>
  <c r="C33" i="2" l="1"/>
  <c r="C34" i="2" l="1"/>
  <c r="C35" i="2" l="1"/>
  <c r="C36" i="2" l="1"/>
  <c r="C37" i="2" l="1"/>
  <c r="C38" i="2" l="1"/>
  <c r="C39" i="2" l="1"/>
  <c r="C40" i="2" l="1"/>
  <c r="C41" i="2" l="1"/>
  <c r="C42" i="2" l="1"/>
  <c r="C43" i="2" l="1"/>
  <c r="C44" i="2" l="1"/>
  <c r="C45" i="2" l="1"/>
  <c r="C46" i="2" l="1"/>
  <c r="C47" i="2" l="1"/>
  <c r="C48" i="2" l="1"/>
  <c r="C49" i="2" l="1"/>
  <c r="C50" i="2" l="1"/>
  <c r="C51" i="2" l="1"/>
  <c r="C52" i="2" l="1"/>
  <c r="C53" i="2" l="1"/>
  <c r="C54" i="2" l="1"/>
  <c r="C55" i="2" l="1"/>
  <c r="C56" i="2" l="1"/>
  <c r="C57" i="2" s="1"/>
  <c r="C58" i="2" l="1"/>
  <c r="C59" i="2" l="1"/>
  <c r="C60" i="2" l="1"/>
  <c r="O10" i="1"/>
  <c r="H10" i="1" l="1"/>
  <c r="K10" i="1"/>
  <c r="C61" i="2"/>
  <c r="H2" i="2"/>
  <c r="F3" i="2" s="1"/>
  <c r="D2" i="2"/>
  <c r="M10" i="1"/>
  <c r="G10" i="1" l="1"/>
  <c r="I10" i="1" s="1"/>
  <c r="N10" i="1"/>
  <c r="C62" i="2"/>
  <c r="O57" i="2"/>
  <c r="J10" i="1" l="1"/>
  <c r="P10" i="1" s="1"/>
  <c r="Q10" i="1" s="1"/>
  <c r="C63" i="2"/>
  <c r="D3" i="2"/>
  <c r="C64" i="2" l="1"/>
  <c r="O58" i="2"/>
  <c r="J4" i="2"/>
  <c r="C65" i="2" l="1"/>
  <c r="D64" i="2"/>
  <c r="D56" i="2"/>
  <c r="D61" i="2"/>
  <c r="D57" i="2"/>
  <c r="D65" i="2"/>
  <c r="D59" i="2"/>
  <c r="D63" i="2"/>
  <c r="D58" i="2"/>
  <c r="D62" i="2"/>
  <c r="D60" i="2"/>
  <c r="D8" i="2"/>
  <c r="D6" i="2"/>
  <c r="D7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66" i="2" l="1"/>
  <c r="E63" i="2"/>
  <c r="G63" i="2" s="1"/>
  <c r="F63" i="2"/>
  <c r="F59" i="2"/>
  <c r="E59" i="2"/>
  <c r="G59" i="2" s="1"/>
  <c r="F65" i="2"/>
  <c r="E65" i="2"/>
  <c r="G65" i="2" s="1"/>
  <c r="F57" i="2"/>
  <c r="E57" i="2"/>
  <c r="G57" i="2" s="1"/>
  <c r="E61" i="2"/>
  <c r="G61" i="2" s="1"/>
  <c r="F61" i="2"/>
  <c r="E58" i="2"/>
  <c r="G58" i="2" s="1"/>
  <c r="F58" i="2"/>
  <c r="F60" i="2"/>
  <c r="E60" i="2"/>
  <c r="G60" i="2" s="1"/>
  <c r="E56" i="2"/>
  <c r="G56" i="2" s="1"/>
  <c r="F56" i="2"/>
  <c r="F62" i="2"/>
  <c r="E62" i="2"/>
  <c r="G62" i="2" s="1"/>
  <c r="E64" i="2"/>
  <c r="G64" i="2" s="1"/>
  <c r="F64" i="2"/>
  <c r="E47" i="2"/>
  <c r="G47" i="2" s="1"/>
  <c r="F47" i="2"/>
  <c r="E31" i="2"/>
  <c r="G31" i="2" s="1"/>
  <c r="F31" i="2"/>
  <c r="E15" i="2"/>
  <c r="G15" i="2" s="1"/>
  <c r="F15" i="2"/>
  <c r="E54" i="2"/>
  <c r="G54" i="2" s="1"/>
  <c r="F54" i="2"/>
  <c r="F46" i="2"/>
  <c r="E46" i="2"/>
  <c r="G46" i="2" s="1"/>
  <c r="E22" i="2"/>
  <c r="G22" i="2" s="1"/>
  <c r="F22" i="2"/>
  <c r="E8" i="2"/>
  <c r="G8" i="2" s="1"/>
  <c r="F8" i="2"/>
  <c r="E45" i="2"/>
  <c r="G45" i="2" s="1"/>
  <c r="F45" i="2"/>
  <c r="F29" i="2"/>
  <c r="E29" i="2"/>
  <c r="G29" i="2" s="1"/>
  <c r="E21" i="2"/>
  <c r="G21" i="2" s="1"/>
  <c r="F21" i="2"/>
  <c r="E13" i="2"/>
  <c r="G13" i="2" s="1"/>
  <c r="F13" i="2"/>
  <c r="F39" i="2"/>
  <c r="E39" i="2"/>
  <c r="G39" i="2" s="1"/>
  <c r="E23" i="2"/>
  <c r="G23" i="2" s="1"/>
  <c r="F23" i="2"/>
  <c r="F6" i="2"/>
  <c r="E6" i="2"/>
  <c r="E38" i="2"/>
  <c r="G38" i="2" s="1"/>
  <c r="F38" i="2"/>
  <c r="E30" i="2"/>
  <c r="G30" i="2" s="1"/>
  <c r="F30" i="2"/>
  <c r="E14" i="2"/>
  <c r="G14" i="2" s="1"/>
  <c r="F14" i="2"/>
  <c r="F53" i="2"/>
  <c r="E53" i="2"/>
  <c r="G53" i="2" s="1"/>
  <c r="F37" i="2"/>
  <c r="E37" i="2"/>
  <c r="G37" i="2" s="1"/>
  <c r="F52" i="2"/>
  <c r="E52" i="2"/>
  <c r="G52" i="2" s="1"/>
  <c r="E44" i="2"/>
  <c r="G44" i="2" s="1"/>
  <c r="F44" i="2"/>
  <c r="E36" i="2"/>
  <c r="G36" i="2" s="1"/>
  <c r="F36" i="2"/>
  <c r="F28" i="2"/>
  <c r="E28" i="2"/>
  <c r="G28" i="2" s="1"/>
  <c r="F20" i="2"/>
  <c r="E20" i="2"/>
  <c r="G20" i="2" s="1"/>
  <c r="F12" i="2"/>
  <c r="E12" i="2"/>
  <c r="G12" i="2" s="1"/>
  <c r="E43" i="2"/>
  <c r="G43" i="2" s="1"/>
  <c r="F43" i="2"/>
  <c r="E27" i="2"/>
  <c r="G27" i="2" s="1"/>
  <c r="F27" i="2"/>
  <c r="F11" i="2"/>
  <c r="E11" i="2"/>
  <c r="G11" i="2" s="1"/>
  <c r="E50" i="2"/>
  <c r="G50" i="2" s="1"/>
  <c r="F50" i="2"/>
  <c r="E34" i="2"/>
  <c r="G34" i="2" s="1"/>
  <c r="F34" i="2"/>
  <c r="E18" i="2"/>
  <c r="G18" i="2" s="1"/>
  <c r="F18" i="2"/>
  <c r="E41" i="2"/>
  <c r="G41" i="2" s="1"/>
  <c r="F41" i="2"/>
  <c r="E33" i="2"/>
  <c r="G33" i="2" s="1"/>
  <c r="F33" i="2"/>
  <c r="E25" i="2"/>
  <c r="G25" i="2" s="1"/>
  <c r="F25" i="2"/>
  <c r="F17" i="2"/>
  <c r="E17" i="2"/>
  <c r="G17" i="2" s="1"/>
  <c r="F9" i="2"/>
  <c r="E9" i="2"/>
  <c r="G9" i="2" s="1"/>
  <c r="E55" i="2"/>
  <c r="G55" i="2" s="1"/>
  <c r="F55" i="2"/>
  <c r="E51" i="2"/>
  <c r="G51" i="2" s="1"/>
  <c r="F51" i="2"/>
  <c r="E35" i="2"/>
  <c r="G35" i="2" s="1"/>
  <c r="F35" i="2"/>
  <c r="F19" i="2"/>
  <c r="E19" i="2"/>
  <c r="G19" i="2" s="1"/>
  <c r="E42" i="2"/>
  <c r="G42" i="2" s="1"/>
  <c r="F42" i="2"/>
  <c r="F26" i="2"/>
  <c r="E26" i="2"/>
  <c r="G26" i="2" s="1"/>
  <c r="F10" i="2"/>
  <c r="E10" i="2"/>
  <c r="G10" i="2" s="1"/>
  <c r="F49" i="2"/>
  <c r="E49" i="2"/>
  <c r="G49" i="2" s="1"/>
  <c r="E48" i="2"/>
  <c r="G48" i="2" s="1"/>
  <c r="F48" i="2"/>
  <c r="F40" i="2"/>
  <c r="E40" i="2"/>
  <c r="G40" i="2" s="1"/>
  <c r="E32" i="2"/>
  <c r="G32" i="2" s="1"/>
  <c r="F32" i="2"/>
  <c r="E24" i="2"/>
  <c r="G24" i="2" s="1"/>
  <c r="F24" i="2"/>
  <c r="E16" i="2"/>
  <c r="G16" i="2" s="1"/>
  <c r="F16" i="2"/>
  <c r="F7" i="2"/>
  <c r="E7" i="2"/>
  <c r="G7" i="2" s="1"/>
  <c r="F66" i="2" l="1"/>
  <c r="E66" i="2"/>
  <c r="G6" i="2"/>
  <c r="H6" i="2" l="1"/>
  <c r="H7" i="2" s="1"/>
  <c r="G66" i="2"/>
  <c r="G67" i="2" s="1"/>
  <c r="I7" i="2" l="1"/>
  <c r="J8" i="2" s="1"/>
  <c r="G68" i="2"/>
  <c r="K7" i="2" s="1"/>
  <c r="I6" i="2"/>
  <c r="J7" i="2" s="1"/>
  <c r="H8" i="2"/>
  <c r="K8" i="2" l="1"/>
  <c r="H9" i="2"/>
  <c r="I9" i="2" s="1"/>
  <c r="J10" i="2" s="1"/>
  <c r="K9" i="2"/>
  <c r="I8" i="2"/>
  <c r="J9" i="2" s="1"/>
  <c r="H10" i="2" l="1"/>
  <c r="I10" i="2" s="1"/>
  <c r="J11" i="2" s="1"/>
  <c r="K10" i="2"/>
  <c r="H11" i="2" l="1"/>
  <c r="K11" i="2"/>
  <c r="H12" i="2" l="1"/>
  <c r="I12" i="2" s="1"/>
  <c r="K12" i="2"/>
  <c r="I11" i="2"/>
  <c r="J12" i="2" s="1"/>
  <c r="J13" i="2" l="1"/>
  <c r="H13" i="2"/>
  <c r="I13" i="2" s="1"/>
  <c r="J14" i="2" s="1"/>
  <c r="K13" i="2"/>
  <c r="H14" i="2" l="1"/>
  <c r="K14" i="2"/>
  <c r="H15" i="2" l="1"/>
  <c r="K15" i="2"/>
  <c r="I14" i="2"/>
  <c r="J15" i="2" s="1"/>
  <c r="H16" i="2" l="1"/>
  <c r="K16" i="2"/>
  <c r="I15" i="2"/>
  <c r="J16" i="2" s="1"/>
  <c r="H17" i="2" l="1"/>
  <c r="K17" i="2"/>
  <c r="I16" i="2"/>
  <c r="J17" i="2" s="1"/>
  <c r="I17" i="2" l="1"/>
  <c r="J18" i="2" s="1"/>
  <c r="H18" i="2"/>
  <c r="K18" i="2"/>
  <c r="H19" i="2" l="1"/>
  <c r="K19" i="2"/>
  <c r="I18" i="2"/>
  <c r="J19" i="2" s="1"/>
  <c r="I19" i="2" l="1"/>
  <c r="J20" i="2" s="1"/>
  <c r="H20" i="2"/>
  <c r="K20" i="2"/>
  <c r="I20" i="2" l="1"/>
  <c r="J21" i="2" s="1"/>
  <c r="H21" i="2"/>
  <c r="K21" i="2"/>
  <c r="I21" i="2" l="1"/>
  <c r="J22" i="2" s="1"/>
  <c r="H22" i="2"/>
  <c r="K22" i="2"/>
  <c r="H23" i="2" l="1"/>
  <c r="K23" i="2"/>
  <c r="I22" i="2"/>
  <c r="J23" i="2" s="1"/>
  <c r="I23" i="2" l="1"/>
  <c r="J24" i="2" s="1"/>
  <c r="H24" i="2"/>
  <c r="K24" i="2"/>
  <c r="I24" i="2" l="1"/>
  <c r="J25" i="2" s="1"/>
  <c r="H25" i="2"/>
  <c r="K25" i="2"/>
  <c r="I25" i="2" l="1"/>
  <c r="J26" i="2" s="1"/>
  <c r="H26" i="2"/>
  <c r="K26" i="2"/>
  <c r="I26" i="2" l="1"/>
  <c r="J27" i="2" s="1"/>
  <c r="H27" i="2"/>
  <c r="K27" i="2"/>
  <c r="I27" i="2" l="1"/>
  <c r="J28" i="2" s="1"/>
  <c r="H28" i="2"/>
  <c r="K28" i="2"/>
  <c r="I28" i="2" l="1"/>
  <c r="J29" i="2" s="1"/>
  <c r="H29" i="2"/>
  <c r="K29" i="2"/>
  <c r="I29" i="2" l="1"/>
  <c r="J30" i="2" s="1"/>
  <c r="H30" i="2"/>
  <c r="K30" i="2"/>
  <c r="I30" i="2" l="1"/>
  <c r="J31" i="2" s="1"/>
  <c r="H31" i="2"/>
  <c r="K31" i="2"/>
  <c r="I31" i="2" l="1"/>
  <c r="J32" i="2" s="1"/>
  <c r="H32" i="2"/>
  <c r="K32" i="2"/>
  <c r="I32" i="2" l="1"/>
  <c r="J33" i="2" s="1"/>
  <c r="H33" i="2"/>
  <c r="K33" i="2"/>
  <c r="I33" i="2" l="1"/>
  <c r="J34" i="2" s="1"/>
  <c r="K34" i="2"/>
  <c r="H34" i="2"/>
  <c r="I34" i="2" l="1"/>
  <c r="I35" i="2" s="1"/>
  <c r="H35" i="2"/>
  <c r="K35" i="2"/>
  <c r="J35" i="2" l="1"/>
  <c r="J36" i="2" s="1"/>
  <c r="H36" i="2"/>
  <c r="K36" i="2"/>
  <c r="I36" i="2"/>
  <c r="J37" i="2" l="1"/>
  <c r="H37" i="2"/>
  <c r="K37" i="2"/>
  <c r="I37" i="2"/>
  <c r="J38" i="2" l="1"/>
  <c r="H38" i="2"/>
  <c r="K38" i="2"/>
  <c r="I38" i="2"/>
  <c r="J39" i="2" l="1"/>
  <c r="H39" i="2"/>
  <c r="K39" i="2"/>
  <c r="I39" i="2"/>
  <c r="J40" i="2" l="1"/>
  <c r="K40" i="2"/>
  <c r="H40" i="2"/>
  <c r="I40" i="2"/>
  <c r="J41" i="2" l="1"/>
  <c r="K41" i="2"/>
  <c r="H41" i="2"/>
  <c r="I41" i="2"/>
  <c r="J42" i="2" l="1"/>
  <c r="K42" i="2"/>
  <c r="H42" i="2"/>
  <c r="I42" i="2"/>
  <c r="J43" i="2" l="1"/>
  <c r="H43" i="2"/>
  <c r="K43" i="2"/>
  <c r="I43" i="2"/>
  <c r="J44" i="2" l="1"/>
  <c r="H44" i="2"/>
  <c r="K44" i="2"/>
  <c r="I44" i="2"/>
  <c r="J45" i="2" l="1"/>
  <c r="H45" i="2"/>
  <c r="K45" i="2"/>
  <c r="I45" i="2"/>
  <c r="J46" i="2" l="1"/>
  <c r="H46" i="2"/>
  <c r="K46" i="2"/>
  <c r="I46" i="2"/>
  <c r="J47" i="2" l="1"/>
  <c r="H47" i="2"/>
  <c r="K47" i="2"/>
  <c r="I47" i="2"/>
  <c r="J48" i="2" l="1"/>
  <c r="H48" i="2"/>
  <c r="K48" i="2"/>
  <c r="I48" i="2"/>
  <c r="J49" i="2" l="1"/>
  <c r="H49" i="2"/>
  <c r="K49" i="2"/>
  <c r="I49" i="2"/>
  <c r="J50" i="2" l="1"/>
  <c r="K50" i="2"/>
  <c r="H50" i="2"/>
  <c r="I50" i="2"/>
  <c r="J51" i="2" l="1"/>
  <c r="H51" i="2"/>
  <c r="K51" i="2"/>
  <c r="I51" i="2"/>
  <c r="J52" i="2" l="1"/>
  <c r="H52" i="2"/>
  <c r="K52" i="2"/>
  <c r="I52" i="2"/>
  <c r="J53" i="2" l="1"/>
  <c r="H53" i="2"/>
  <c r="K53" i="2"/>
  <c r="I53" i="2"/>
  <c r="J54" i="2" l="1"/>
  <c r="H54" i="2"/>
  <c r="K54" i="2"/>
  <c r="I54" i="2"/>
  <c r="J55" i="2" l="1"/>
  <c r="O60" i="2" s="1"/>
  <c r="K55" i="2"/>
  <c r="H55" i="2"/>
  <c r="I55" i="2"/>
  <c r="J56" i="2" l="1"/>
  <c r="K56" i="2"/>
  <c r="I56" i="2"/>
  <c r="H56" i="2"/>
  <c r="O61" i="2"/>
  <c r="J57" i="2" l="1"/>
  <c r="I57" i="2"/>
  <c r="K57" i="2"/>
  <c r="H57" i="2"/>
  <c r="J58" i="2" l="1"/>
  <c r="K58" i="2"/>
  <c r="I58" i="2"/>
  <c r="H58" i="2"/>
  <c r="J59" i="2" l="1"/>
  <c r="I59" i="2"/>
  <c r="K59" i="2"/>
  <c r="H59" i="2"/>
  <c r="J60" i="2" l="1"/>
  <c r="I60" i="2"/>
  <c r="K60" i="2"/>
  <c r="H60" i="2"/>
  <c r="J61" i="2" l="1"/>
  <c r="K61" i="2"/>
  <c r="I61" i="2"/>
  <c r="H61" i="2"/>
  <c r="J62" i="2" l="1"/>
  <c r="K62" i="2"/>
  <c r="I62" i="2"/>
  <c r="H62" i="2"/>
  <c r="J63" i="2" l="1"/>
  <c r="K63" i="2"/>
  <c r="I63" i="2"/>
  <c r="H63" i="2"/>
  <c r="J64" i="2" l="1"/>
  <c r="K64" i="2"/>
  <c r="I64" i="2"/>
  <c r="J65" i="2" s="1"/>
  <c r="H64" i="2"/>
  <c r="B2" i="2" l="1"/>
  <c r="R14" i="1" s="1"/>
  <c r="I65" i="2"/>
  <c r="K65" i="2"/>
  <c r="B3" i="2" s="1"/>
  <c r="S14" i="1" s="1"/>
  <c r="H65" i="2"/>
  <c r="T14" i="1" l="1"/>
  <c r="B8" i="2" s="1"/>
  <c r="Y14" i="1"/>
  <c r="AB14" i="1" s="1"/>
  <c r="B4" i="2"/>
  <c r="L11" i="2" s="1"/>
  <c r="M11" i="2" s="1"/>
  <c r="B7" i="2"/>
  <c r="U14" i="1"/>
  <c r="L55" i="2" l="1"/>
  <c r="M55" i="2" s="1"/>
  <c r="L15" i="2"/>
  <c r="M15" i="2" s="1"/>
  <c r="L54" i="2"/>
  <c r="M54" i="2" s="1"/>
  <c r="L25" i="2"/>
  <c r="M25" i="2" s="1"/>
  <c r="L53" i="2"/>
  <c r="M53" i="2" s="1"/>
  <c r="L34" i="2"/>
  <c r="M34" i="2" s="1"/>
  <c r="L10" i="2"/>
  <c r="M10" i="2" s="1"/>
  <c r="L61" i="2"/>
  <c r="M61" i="2" s="1"/>
  <c r="L51" i="2"/>
  <c r="M51" i="2" s="1"/>
  <c r="L42" i="2"/>
  <c r="M42" i="2" s="1"/>
  <c r="L33" i="2"/>
  <c r="M33" i="2" s="1"/>
  <c r="L23" i="2"/>
  <c r="M23" i="2" s="1"/>
  <c r="L8" i="2"/>
  <c r="M8" i="2" s="1"/>
  <c r="L59" i="2"/>
  <c r="M59" i="2" s="1"/>
  <c r="L50" i="2"/>
  <c r="M50" i="2" s="1"/>
  <c r="L41" i="2"/>
  <c r="M41" i="2" s="1"/>
  <c r="L32" i="2"/>
  <c r="M32" i="2" s="1"/>
  <c r="L19" i="2"/>
  <c r="M19" i="2" s="1"/>
  <c r="L7" i="2"/>
  <c r="M7" i="2" s="1"/>
  <c r="L58" i="2"/>
  <c r="M58" i="2" s="1"/>
  <c r="L49" i="2"/>
  <c r="M49" i="2" s="1"/>
  <c r="L40" i="2"/>
  <c r="M40" i="2" s="1"/>
  <c r="L31" i="2"/>
  <c r="M31" i="2" s="1"/>
  <c r="L18" i="2"/>
  <c r="M18" i="2" s="1"/>
  <c r="L64" i="2"/>
  <c r="M64" i="2" s="1"/>
  <c r="L46" i="2"/>
  <c r="M46" i="2" s="1"/>
  <c r="L37" i="2"/>
  <c r="M37" i="2" s="1"/>
  <c r="L26" i="2"/>
  <c r="M26" i="2" s="1"/>
  <c r="L63" i="2"/>
  <c r="M63" i="2" s="1"/>
  <c r="L35" i="2"/>
  <c r="M35" i="2" s="1"/>
  <c r="L62" i="2"/>
  <c r="M62" i="2" s="1"/>
  <c r="L43" i="2"/>
  <c r="M43" i="2" s="1"/>
  <c r="L24" i="2"/>
  <c r="M24" i="2" s="1"/>
  <c r="L56" i="2"/>
  <c r="M56" i="2" s="1"/>
  <c r="L48" i="2"/>
  <c r="M48" i="2" s="1"/>
  <c r="L39" i="2"/>
  <c r="M39" i="2" s="1"/>
  <c r="L29" i="2"/>
  <c r="M29" i="2" s="1"/>
  <c r="L17" i="2"/>
  <c r="M17" i="2" s="1"/>
  <c r="L45" i="2"/>
  <c r="M45" i="2" s="1"/>
  <c r="L9" i="2"/>
  <c r="M9" i="2" s="1"/>
  <c r="L65" i="2"/>
  <c r="M65" i="2" s="1"/>
  <c r="L57" i="2"/>
  <c r="M57" i="2" s="1"/>
  <c r="L47" i="2"/>
  <c r="M47" i="2" s="1"/>
  <c r="L38" i="2"/>
  <c r="M38" i="2" s="1"/>
  <c r="L27" i="2"/>
  <c r="M27" i="2" s="1"/>
  <c r="L16" i="2"/>
  <c r="M16" i="2" s="1"/>
  <c r="L6" i="2"/>
  <c r="M6" i="2" s="1"/>
  <c r="L30" i="2"/>
  <c r="M30" i="2" s="1"/>
  <c r="L22" i="2"/>
  <c r="M22" i="2" s="1"/>
  <c r="L14" i="2"/>
  <c r="M14" i="2" s="1"/>
  <c r="L21" i="2"/>
  <c r="M21" i="2" s="1"/>
  <c r="L13" i="2"/>
  <c r="M13" i="2" s="1"/>
  <c r="L60" i="2"/>
  <c r="M60" i="2" s="1"/>
  <c r="L52" i="2"/>
  <c r="M52" i="2" s="1"/>
  <c r="L44" i="2"/>
  <c r="M44" i="2" s="1"/>
  <c r="L36" i="2"/>
  <c r="M36" i="2" s="1"/>
  <c r="L28" i="2"/>
  <c r="M28" i="2" s="1"/>
  <c r="L20" i="2"/>
  <c r="M20" i="2" s="1"/>
  <c r="L12" i="2"/>
  <c r="M12" i="2" s="1"/>
  <c r="L66" i="2" l="1"/>
  <c r="V14" i="1" s="1"/>
  <c r="X14" i="1" s="1"/>
  <c r="W14" i="1" l="1"/>
</calcChain>
</file>

<file path=xl/sharedStrings.xml><?xml version="1.0" encoding="utf-8"?>
<sst xmlns="http://schemas.openxmlformats.org/spreadsheetml/2006/main" count="144" uniqueCount="112">
  <si>
    <t>Year</t>
  </si>
  <si>
    <t>Month</t>
  </si>
  <si>
    <t>Day</t>
  </si>
  <si>
    <t>k-factor</t>
  </si>
  <si>
    <t>4 dig</t>
  </si>
  <si>
    <t>[-]</t>
  </si>
  <si>
    <t>[m/s]</t>
  </si>
  <si>
    <t>avg U10</t>
  </si>
  <si>
    <t>[m]</t>
  </si>
  <si>
    <t>Hh</t>
  </si>
  <si>
    <t>Cp</t>
  </si>
  <si>
    <t>Äta</t>
  </si>
  <si>
    <t>Downtime</t>
  </si>
  <si>
    <t>[%]</t>
  </si>
  <si>
    <t>[mm]</t>
  </si>
  <si>
    <t>Roughness</t>
  </si>
  <si>
    <t>Zo</t>
  </si>
  <si>
    <t>Nz Wind</t>
  </si>
  <si>
    <t>Cut out</t>
  </si>
  <si>
    <t>Rated Pow</t>
  </si>
  <si>
    <t>[kW]</t>
  </si>
  <si>
    <t>AeroD Load Tower</t>
  </si>
  <si>
    <t>[kN]</t>
  </si>
  <si>
    <t>Wall t Op</t>
  </si>
  <si>
    <t>Wall t Storm</t>
  </si>
  <si>
    <t>Storm load</t>
  </si>
  <si>
    <t>Solidity</t>
  </si>
  <si>
    <t>Avg U10</t>
  </si>
  <si>
    <t>Rat.wind speed</t>
  </si>
  <si>
    <t>Efficiency</t>
  </si>
  <si>
    <t>i.e @10 m</t>
  </si>
  <si>
    <t>Diameter</t>
  </si>
  <si>
    <t>Height</t>
  </si>
  <si>
    <t>Weibull dist</t>
  </si>
  <si>
    <t>Cut Out</t>
  </si>
  <si>
    <t>Rated</t>
  </si>
  <si>
    <t>4,2-10,4</t>
  </si>
  <si>
    <t>V</t>
  </si>
  <si>
    <t xml:space="preserve">  1,2-2,3</t>
  </si>
  <si>
    <t>k</t>
  </si>
  <si>
    <t>tredjedel</t>
  </si>
  <si>
    <t>Sum:</t>
  </si>
  <si>
    <t>Zo correction</t>
  </si>
  <si>
    <t>U corr fact</t>
  </si>
  <si>
    <t>Z0</t>
  </si>
  <si>
    <t>Hub height</t>
  </si>
  <si>
    <t>m</t>
  </si>
  <si>
    <t>Elev in wind data</t>
  </si>
  <si>
    <t>kWh/m2</t>
  </si>
  <si>
    <t>h/year</t>
  </si>
  <si>
    <t>Dist</t>
  </si>
  <si>
    <t>Wind</t>
  </si>
  <si>
    <t>Elevation correction</t>
  </si>
  <si>
    <t>c =</t>
  </si>
  <si>
    <t>Cum. Eng.</t>
  </si>
  <si>
    <t>Energy/sqm</t>
  </si>
  <si>
    <t>Avail.</t>
  </si>
  <si>
    <t>Hours</t>
  </si>
  <si>
    <t>c=w*(0,568+0,433/k)^(-1/k)</t>
  </si>
  <si>
    <t>Där c kan bestämmas från medelvind w:</t>
  </si>
  <si>
    <t>Availb:</t>
  </si>
  <si>
    <t>AVG V=</t>
  </si>
  <si>
    <t>P(u)=k/c*(u/c)^(k-1)*Exp(-(u/c)^k)</t>
  </si>
  <si>
    <t>Weibul distribution med parameter k och c</t>
  </si>
  <si>
    <t>Param k</t>
  </si>
  <si>
    <t>Down time</t>
  </si>
  <si>
    <t>DiaT</t>
  </si>
  <si>
    <t>Cut-In</t>
  </si>
  <si>
    <t xml:space="preserve"> @60 [kN]</t>
  </si>
  <si>
    <t>Capture</t>
  </si>
  <si>
    <t xml:space="preserve"> efficiency</t>
  </si>
  <si>
    <t>Student:                  \           Unit:</t>
  </si>
  <si>
    <t>Cp [-]</t>
  </si>
  <si>
    <t>drivetrain</t>
  </si>
  <si>
    <t>Down-</t>
  </si>
  <si>
    <t>time</t>
  </si>
  <si>
    <t>Rough-</t>
  </si>
  <si>
    <t>ness</t>
  </si>
  <si>
    <t>Input parameters:</t>
  </si>
  <si>
    <t>Generated</t>
  </si>
  <si>
    <t>AvgPow</t>
  </si>
  <si>
    <t>FullLh</t>
  </si>
  <si>
    <t>[MWh]</t>
  </si>
  <si>
    <t>[h]</t>
  </si>
  <si>
    <t>Energy Gen</t>
  </si>
  <si>
    <t>Cut in</t>
  </si>
  <si>
    <t>Dia</t>
  </si>
  <si>
    <t>Äta*Cp</t>
  </si>
  <si>
    <t>kWh</t>
  </si>
  <si>
    <t>summa</t>
  </si>
  <si>
    <t>MWh</t>
  </si>
  <si>
    <t>GenE</t>
  </si>
  <si>
    <t>AvgP</t>
  </si>
  <si>
    <t>FLh</t>
  </si>
  <si>
    <t>h</t>
  </si>
  <si>
    <t>kW</t>
  </si>
  <si>
    <t>E/m^2</t>
  </si>
  <si>
    <t>Wind at Nacell</t>
  </si>
  <si>
    <t xml:space="preserve"> </t>
  </si>
  <si>
    <t>Rat.Pow</t>
  </si>
  <si>
    <t xml:space="preserve">AeroD Ld </t>
  </si>
  <si>
    <t>tower</t>
  </si>
  <si>
    <t>Klar?</t>
  </si>
  <si>
    <t>Födelse dat</t>
  </si>
  <si>
    <t>§</t>
  </si>
  <si>
    <t>Avbokad eller NO-Show</t>
  </si>
  <si>
    <t>Grönt namn = presentation godkänd</t>
  </si>
  <si>
    <t>Blått nam = pres U</t>
  </si>
  <si>
    <t xml:space="preserve">Rättat i </t>
  </si>
  <si>
    <t>Studium</t>
  </si>
  <si>
    <t>Assignment sheet for MP1 Wind Power course 2026</t>
  </si>
  <si>
    <t>Hans Bernhoff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</si>
</sst>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0.0"/>
    <numFmt numFmtId="167" formatCode="0.0000"/>
  </numFmts>
  <fonts count="14" x14ac:knownFonts="1">
    <font>
      <sz val="11"/>
      <color theme="1"/>
      <name val="Calibri"/>
      <family val="2"/>
      <scheme val="minor"/>
    </font>
    <font>
      <sz val="10.65"/>
      <color rgb="FF050505"/>
      <name val="Arial"/>
      <family val="2"/>
    </font>
    <font>
      <sz val="11"/>
      <name val="Calibri"/>
      <family val="2"/>
      <scheme val="minor"/>
    </font>
    <font>
      <sz val="10.65"/>
      <name val="Arial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FFFFFF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6" fillId="10" borderId="0" applyNumberFormat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" fontId="0" fillId="0" borderId="0" xfId="0" applyNumberForma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2" fontId="0" fillId="3" borderId="0" xfId="0" applyNumberFormat="1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2" fontId="0" fillId="0" borderId="0" xfId="0" applyNumberFormat="1"/>
    <xf numFmtId="165" fontId="4" fillId="0" borderId="0" xfId="0" applyNumberFormat="1" applyFont="1"/>
    <xf numFmtId="165" fontId="0" fillId="0" borderId="0" xfId="0" applyNumberFormat="1"/>
    <xf numFmtId="0" fontId="0" fillId="3" borderId="0" xfId="0" applyFill="1"/>
    <xf numFmtId="1" fontId="4" fillId="0" borderId="0" xfId="0" applyNumberFormat="1" applyFont="1"/>
    <xf numFmtId="167" fontId="4" fillId="0" borderId="0" xfId="0" applyNumberFormat="1" applyFont="1"/>
    <xf numFmtId="0" fontId="4" fillId="0" borderId="0" xfId="0" applyFont="1" applyAlignment="1">
      <alignment horizontal="right"/>
    </xf>
    <xf numFmtId="167" fontId="0" fillId="0" borderId="0" xfId="0" applyNumberFormat="1"/>
    <xf numFmtId="2" fontId="0" fillId="9" borderId="0" xfId="0" applyNumberFormat="1" applyFill="1"/>
    <xf numFmtId="0" fontId="0" fillId="9" borderId="0" xfId="0" applyFill="1"/>
    <xf numFmtId="0" fontId="0" fillId="0" borderId="0" xfId="0" applyAlignment="1">
      <alignment horizontal="right"/>
    </xf>
    <xf numFmtId="2" fontId="0" fillId="7" borderId="0" xfId="0" applyNumberFormat="1" applyFill="1" applyAlignment="1">
      <alignment horizontal="left"/>
    </xf>
    <xf numFmtId="2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" fillId="0" borderId="2" xfId="0" applyFont="1" applyBorder="1" applyAlignment="1">
      <alignment horizontal="left" vertical="top" indent="1"/>
    </xf>
    <xf numFmtId="0" fontId="1" fillId="0" borderId="3" xfId="0" applyFont="1" applyBorder="1" applyAlignment="1">
      <alignment horizontal="left" vertical="top" indent="1"/>
    </xf>
    <xf numFmtId="166" fontId="0" fillId="6" borderId="0" xfId="0" applyNumberFormat="1" applyFill="1"/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0" borderId="0" xfId="0" applyFont="1" applyAlignment="1">
      <alignment horizontal="left"/>
    </xf>
    <xf numFmtId="0" fontId="6" fillId="10" borderId="0" xfId="1"/>
    <xf numFmtId="0" fontId="0" fillId="13" borderId="0" xfId="0" applyFill="1"/>
    <xf numFmtId="2" fontId="0" fillId="13" borderId="0" xfId="0" applyNumberFormat="1" applyFill="1" applyAlignment="1">
      <alignment horizontal="center"/>
    </xf>
    <xf numFmtId="2" fontId="0" fillId="13" borderId="0" xfId="0" applyNumberFormat="1" applyFill="1"/>
    <xf numFmtId="1" fontId="0" fillId="13" borderId="0" xfId="0" applyNumberFormat="1" applyFill="1"/>
    <xf numFmtId="1" fontId="4" fillId="13" borderId="0" xfId="0" applyNumberFormat="1" applyFont="1" applyFill="1"/>
    <xf numFmtId="9" fontId="0" fillId="13" borderId="0" xfId="0" applyNumberFormat="1" applyFill="1"/>
    <xf numFmtId="164" fontId="0" fillId="0" borderId="0" xfId="0" applyNumberFormat="1"/>
    <xf numFmtId="3" fontId="0" fillId="0" borderId="0" xfId="0" applyNumberFormat="1"/>
    <xf numFmtId="3" fontId="4" fillId="0" borderId="0" xfId="0" applyNumberFormat="1" applyFont="1"/>
    <xf numFmtId="0" fontId="8" fillId="0" borderId="0" xfId="0" applyFont="1"/>
    <xf numFmtId="0" fontId="4" fillId="5" borderId="0" xfId="0" applyFont="1" applyFill="1" applyAlignment="1">
      <alignment horizontal="left"/>
    </xf>
    <xf numFmtId="2" fontId="0" fillId="5" borderId="0" xfId="0" applyNumberFormat="1" applyFill="1" applyAlignment="1">
      <alignment horizontal="center"/>
    </xf>
    <xf numFmtId="0" fontId="3" fillId="2" borderId="2" xfId="0" applyFont="1" applyFill="1" applyBorder="1" applyAlignment="1">
      <alignment horizontal="left" vertical="top" indent="1"/>
    </xf>
    <xf numFmtId="2" fontId="2" fillId="5" borderId="0" xfId="0" applyNumberFormat="1" applyFont="1" applyFill="1"/>
    <xf numFmtId="3" fontId="2" fillId="5" borderId="0" xfId="0" applyNumberFormat="1" applyFont="1" applyFill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66" fontId="2" fillId="4" borderId="0" xfId="0" applyNumberFormat="1" applyFont="1" applyFill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0" xfId="0" applyFont="1"/>
    <xf numFmtId="0" fontId="4" fillId="14" borderId="0" xfId="0" applyFont="1" applyFill="1" applyAlignment="1">
      <alignment horizontal="left"/>
    </xf>
    <xf numFmtId="2" fontId="0" fillId="14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2" fillId="6" borderId="0" xfId="0" applyFont="1" applyFill="1"/>
    <xf numFmtId="165" fontId="2" fillId="0" borderId="0" xfId="0" applyNumberFormat="1" applyFont="1"/>
    <xf numFmtId="165" fontId="7" fillId="0" borderId="0" xfId="0" applyNumberFormat="1" applyFont="1"/>
    <xf numFmtId="166" fontId="2" fillId="0" borderId="0" xfId="0" applyNumberFormat="1" applyFont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0" fontId="10" fillId="0" borderId="0" xfId="0" applyFont="1"/>
    <xf numFmtId="0" fontId="0" fillId="3" borderId="0" xfId="0" applyFill="1" applyAlignment="1">
      <alignment horizontal="center"/>
    </xf>
    <xf numFmtId="0" fontId="9" fillId="7" borderId="0" xfId="0" applyFont="1" applyFill="1"/>
    <xf numFmtId="0" fontId="8" fillId="7" borderId="0" xfId="0" applyFont="1" applyFill="1"/>
    <xf numFmtId="0" fontId="10" fillId="7" borderId="0" xfId="0" applyFont="1" applyFill="1"/>
    <xf numFmtId="2" fontId="0" fillId="15" borderId="5" xfId="0" applyNumberFormat="1" applyFill="1" applyBorder="1" applyAlignment="1">
      <alignment horizontal="left" vertical="top"/>
    </xf>
    <xf numFmtId="2" fontId="0" fillId="15" borderId="0" xfId="0" applyNumberFormat="1" applyFill="1" applyAlignment="1">
      <alignment horizontal="left"/>
    </xf>
    <xf numFmtId="2" fontId="0" fillId="15" borderId="5" xfId="0" applyNumberFormat="1" applyFill="1" applyBorder="1" applyAlignment="1">
      <alignment horizontal="center"/>
    </xf>
    <xf numFmtId="2" fontId="0" fillId="15" borderId="0" xfId="0" applyNumberFormat="1" applyFill="1" applyAlignment="1">
      <alignment horizontal="center"/>
    </xf>
    <xf numFmtId="166" fontId="2" fillId="15" borderId="5" xfId="0" applyNumberFormat="1" applyFont="1" applyFill="1" applyBorder="1"/>
    <xf numFmtId="166" fontId="2" fillId="15" borderId="0" xfId="0" applyNumberFormat="1" applyFont="1" applyFill="1"/>
    <xf numFmtId="0" fontId="7" fillId="0" borderId="0" xfId="0" applyFont="1"/>
    <xf numFmtId="2" fontId="2" fillId="0" borderId="5" xfId="0" applyNumberFormat="1" applyFont="1" applyBorder="1"/>
    <xf numFmtId="166" fontId="11" fillId="0" borderId="0" xfId="0" applyNumberFormat="1" applyFont="1"/>
    <xf numFmtId="0" fontId="2" fillId="6" borderId="0" xfId="1" applyFont="1" applyFill="1"/>
    <xf numFmtId="2" fontId="2" fillId="8" borderId="0" xfId="0" applyNumberFormat="1" applyFont="1" applyFill="1"/>
    <xf numFmtId="2" fontId="2" fillId="4" borderId="5" xfId="0" applyNumberFormat="1" applyFont="1" applyFill="1" applyBorder="1"/>
    <xf numFmtId="2" fontId="2" fillId="4" borderId="0" xfId="0" applyNumberFormat="1" applyFont="1" applyFill="1"/>
    <xf numFmtId="165" fontId="7" fillId="8" borderId="0" xfId="0" applyNumberFormat="1" applyFont="1" applyFill="1"/>
    <xf numFmtId="3" fontId="7" fillId="8" borderId="0" xfId="0" applyNumberFormat="1" applyFont="1" applyFill="1"/>
    <xf numFmtId="166" fontId="2" fillId="8" borderId="0" xfId="0" applyNumberFormat="1" applyFont="1" applyFill="1"/>
    <xf numFmtId="1" fontId="2" fillId="8" borderId="0" xfId="0" applyNumberFormat="1" applyFont="1" applyFill="1"/>
    <xf numFmtId="165" fontId="2" fillId="8" borderId="0" xfId="0" applyNumberFormat="1" applyFont="1" applyFill="1"/>
    <xf numFmtId="2" fontId="2" fillId="12" borderId="0" xfId="0" applyNumberFormat="1" applyFont="1" applyFill="1"/>
    <xf numFmtId="165" fontId="7" fillId="12" borderId="0" xfId="0" applyNumberFormat="1" applyFont="1" applyFill="1"/>
    <xf numFmtId="165" fontId="7" fillId="12" borderId="0" xfId="0" applyNumberFormat="1" applyFont="1" applyFill="1" applyAlignment="1">
      <alignment horizontal="center"/>
    </xf>
    <xf numFmtId="166" fontId="2" fillId="12" borderId="0" xfId="0" applyNumberFormat="1" applyFont="1" applyFill="1"/>
    <xf numFmtId="1" fontId="2" fillId="12" borderId="0" xfId="0" applyNumberFormat="1" applyFont="1" applyFill="1"/>
    <xf numFmtId="165" fontId="2" fillId="12" borderId="0" xfId="0" applyNumberFormat="1" applyFont="1" applyFill="1"/>
    <xf numFmtId="164" fontId="2" fillId="0" borderId="0" xfId="0" applyNumberFormat="1" applyFont="1" applyAlignment="1">
      <alignment horizontal="center"/>
    </xf>
    <xf numFmtId="0" fontId="0" fillId="13" borderId="0" xfId="0" applyFill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3" fontId="2" fillId="9" borderId="0" xfId="0" applyNumberFormat="1" applyFont="1" applyFill="1"/>
    <xf numFmtId="0" fontId="3" fillId="16" borderId="1" xfId="0" applyFont="1" applyFill="1" applyBorder="1" applyAlignment="1">
      <alignment horizontal="left" vertical="top" indent="1"/>
    </xf>
    <xf numFmtId="166" fontId="2" fillId="17" borderId="0" xfId="0" applyNumberFormat="1" applyFont="1" applyFill="1"/>
    <xf numFmtId="0" fontId="0" fillId="0" borderId="0" xfId="0" applyAlignment="1">
      <alignment vertical="center"/>
    </xf>
    <xf numFmtId="0" fontId="7" fillId="13" borderId="7" xfId="0" applyFont="1" applyFill="1" applyBorder="1" applyAlignment="1">
      <alignment horizontal="center"/>
    </xf>
    <xf numFmtId="166" fontId="7" fillId="11" borderId="8" xfId="0" applyNumberFormat="1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64" fontId="7" fillId="11" borderId="9" xfId="0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165" fontId="13" fillId="4" borderId="0" xfId="0" applyNumberFormat="1" applyFont="1" applyFill="1"/>
    <xf numFmtId="0" fontId="3" fillId="13" borderId="1" xfId="0" applyFont="1" applyFill="1" applyBorder="1" applyAlignment="1">
      <alignment horizontal="left" vertical="top" indent="1"/>
    </xf>
    <xf numFmtId="0" fontId="1" fillId="13" borderId="2" xfId="0" applyFont="1" applyFill="1" applyBorder="1" applyAlignment="1">
      <alignment horizontal="left" vertical="top" indent="1"/>
    </xf>
    <xf numFmtId="0" fontId="2" fillId="9" borderId="0" xfId="0" applyFont="1" applyFill="1"/>
    <xf numFmtId="0" fontId="0" fillId="18" borderId="0" xfId="0" applyFill="1"/>
    <xf numFmtId="0" fontId="0" fillId="18" borderId="0" xfId="0" applyFill="1" applyAlignment="1">
      <alignment horizontal="center"/>
    </xf>
    <xf numFmtId="0" fontId="2" fillId="18" borderId="0" xfId="0" applyFont="1" applyFill="1"/>
    <xf numFmtId="0" fontId="2" fillId="19" borderId="5" xfId="0" applyFont="1" applyFill="1" applyBorder="1" applyAlignment="1">
      <alignment horizontal="center"/>
    </xf>
    <xf numFmtId="166" fontId="2" fillId="19" borderId="0" xfId="0" applyNumberFormat="1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164" fontId="2" fillId="19" borderId="6" xfId="0" applyNumberFormat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/>
    <xf numFmtId="0" fontId="4" fillId="0" borderId="0" xfId="0" applyFont="1" applyFill="1"/>
    <xf numFmtId="1" fontId="0" fillId="3" borderId="0" xfId="0" applyNumberFormat="1" applyFill="1"/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D82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Annual Wind and Energy distribution</a:t>
            </a:r>
          </a:p>
        </c:rich>
      </c:tx>
      <c:layout>
        <c:manualLayout>
          <c:xMode val="edge"/>
          <c:yMode val="edge"/>
          <c:x val="0.3341952077816554"/>
          <c:y val="3.46747676496092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38740840769574"/>
          <c:y val="0.12154696132596685"/>
          <c:w val="0.80645330656356384"/>
          <c:h val="0.70718232044198892"/>
        </c:manualLayout>
      </c:layout>
      <c:barChart>
        <c:barDir val="col"/>
        <c:grouping val="clustere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invertIfNegative val="0"/>
          <c:val>
            <c:numRef>
              <c:f>'Weibul (2)'!$E$6:$E$35</c:f>
              <c:numCache>
                <c:formatCode>General</c:formatCode>
                <c:ptCount val="30"/>
                <c:pt idx="0">
                  <c:v>544.00632300036796</c:v>
                </c:pt>
                <c:pt idx="1">
                  <c:v>759.5688112746509</c:v>
                </c:pt>
                <c:pt idx="2">
                  <c:v>866.23789155376676</c:v>
                </c:pt>
                <c:pt idx="3">
                  <c:v>897.63528350594152</c:v>
                </c:pt>
                <c:pt idx="4">
                  <c:v>875.06276571911178</c:v>
                </c:pt>
                <c:pt idx="5">
                  <c:v>815.59282104756016</c:v>
                </c:pt>
                <c:pt idx="6">
                  <c:v>733.37745015208645</c:v>
                </c:pt>
                <c:pt idx="7">
                  <c:v>639.83035126125981</c:v>
                </c:pt>
                <c:pt idx="8">
                  <c:v>543.69949258347481</c:v>
                </c:pt>
                <c:pt idx="9">
                  <c:v>451.24801770057405</c:v>
                </c:pt>
                <c:pt idx="10">
                  <c:v>366.55720336449269</c:v>
                </c:pt>
                <c:pt idx="11">
                  <c:v>291.90817155342216</c:v>
                </c:pt>
                <c:pt idx="12">
                  <c:v>228.19006350177054</c:v>
                </c:pt>
                <c:pt idx="13">
                  <c:v>175.29093660513377</c:v>
                </c:pt>
                <c:pt idx="14">
                  <c:v>132.44168756414658</c:v>
                </c:pt>
                <c:pt idx="15">
                  <c:v>98.497327610199576</c:v>
                </c:pt>
                <c:pt idx="16">
                  <c:v>72.151446545340875</c:v>
                </c:pt>
                <c:pt idx="17">
                  <c:v>52.087852455227001</c:v>
                </c:pt>
                <c:pt idx="18">
                  <c:v>37.078242268635698</c:v>
                </c:pt>
                <c:pt idx="19">
                  <c:v>26.036902052348555</c:v>
                </c:pt>
                <c:pt idx="20">
                  <c:v>18.043591567918156</c:v>
                </c:pt>
                <c:pt idx="21">
                  <c:v>12.344661893614342</c:v>
                </c:pt>
                <c:pt idx="22">
                  <c:v>8.3407003676448834</c:v>
                </c:pt>
                <c:pt idx="23">
                  <c:v>5.567050049829751</c:v>
                </c:pt>
                <c:pt idx="24">
                  <c:v>3.6717108277267365</c:v>
                </c:pt>
                <c:pt idx="25">
                  <c:v>2.3935618838404578</c:v>
                </c:pt>
                <c:pt idx="26">
                  <c:v>1.5426151930028675</c:v>
                </c:pt>
                <c:pt idx="27">
                  <c:v>0.98311420854606446</c:v>
                </c:pt>
                <c:pt idx="28">
                  <c:v>0.61968931945482808</c:v>
                </c:pt>
                <c:pt idx="29">
                  <c:v>0.38641344608860628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5-4384-BC0D-429644E22827}"/>
            </c:ext>
          </c:extLst>
        </c:ser>
        <c:ser>
          <c:idx val="1"/>
          <c:order val="1"/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val>
            <c:numRef>
              <c:f>'Weibul (2)'!$F$6:$F$65</c:f>
              <c:numCache>
                <c:formatCode>0</c:formatCode>
                <c:ptCount val="60"/>
                <c:pt idx="0">
                  <c:v>533.12619654036064</c:v>
                </c:pt>
                <c:pt idx="1">
                  <c:v>744.37743504915784</c:v>
                </c:pt>
                <c:pt idx="2">
                  <c:v>848.91313372269144</c:v>
                </c:pt>
                <c:pt idx="3">
                  <c:v>879.68257783582271</c:v>
                </c:pt>
                <c:pt idx="4">
                  <c:v>857.56151040472957</c:v>
                </c:pt>
                <c:pt idx="5">
                  <c:v>799.28096462660892</c:v>
                </c:pt>
                <c:pt idx="6">
                  <c:v>718.70990114904475</c:v>
                </c:pt>
                <c:pt idx="7">
                  <c:v>627.03374423603464</c:v>
                </c:pt>
                <c:pt idx="8">
                  <c:v>532.82550273180527</c:v>
                </c:pt>
                <c:pt idx="9">
                  <c:v>442.22305734656254</c:v>
                </c:pt>
                <c:pt idx="10">
                  <c:v>359.22605929720282</c:v>
                </c:pt>
                <c:pt idx="11">
                  <c:v>286.07000812235373</c:v>
                </c:pt>
                <c:pt idx="12">
                  <c:v>223.62626223173513</c:v>
                </c:pt>
                <c:pt idx="13">
                  <c:v>171.78511787303108</c:v>
                </c:pt>
                <c:pt idx="14">
                  <c:v>129.79285381286365</c:v>
                </c:pt>
                <c:pt idx="15">
                  <c:v>96.527381057995584</c:v>
                </c:pt>
                <c:pt idx="16">
                  <c:v>70.708417614434055</c:v>
                </c:pt>
                <c:pt idx="17">
                  <c:v>51.046095406122461</c:v>
                </c:pt>
                <c:pt idx="18">
                  <c:v>36.336677423262984</c:v>
                </c:pt>
                <c:pt idx="19">
                  <c:v>25.516164011301584</c:v>
                </c:pt>
                <c:pt idx="20">
                  <c:v>17.682719736559793</c:v>
                </c:pt>
                <c:pt idx="21">
                  <c:v>12.097768655742055</c:v>
                </c:pt>
                <c:pt idx="22">
                  <c:v>8.173886360291986</c:v>
                </c:pt>
                <c:pt idx="23">
                  <c:v>5.4557090488331559</c:v>
                </c:pt>
                <c:pt idx="24">
                  <c:v>3.5982766111722015</c:v>
                </c:pt>
                <c:pt idx="25">
                  <c:v>2.3456906461636486</c:v>
                </c:pt>
                <c:pt idx="26">
                  <c:v>1.5117628891428101</c:v>
                </c:pt>
                <c:pt idx="27">
                  <c:v>0.96345192437514315</c:v>
                </c:pt>
                <c:pt idx="28">
                  <c:v>0.60729553306573147</c:v>
                </c:pt>
                <c:pt idx="29">
                  <c:v>0.37868517716683414</c:v>
                </c:pt>
                <c:pt idx="30">
                  <c:v>0.2336383206055403</c:v>
                </c:pt>
                <c:pt idx="31">
                  <c:v>0.14265011800641086</c:v>
                </c:pt>
                <c:pt idx="32">
                  <c:v>8.620511477297646E-2</c:v>
                </c:pt>
                <c:pt idx="33">
                  <c:v>5.1569571287581925E-2</c:v>
                </c:pt>
                <c:pt idx="34">
                  <c:v>3.0543364714493256E-2</c:v>
                </c:pt>
                <c:pt idx="35">
                  <c:v>1.7912789448607126E-2</c:v>
                </c:pt>
                <c:pt idx="36">
                  <c:v>1.0403746491489499E-2</c:v>
                </c:pt>
                <c:pt idx="37">
                  <c:v>5.9848192372439083E-3</c:v>
                </c:pt>
                <c:pt idx="38">
                  <c:v>3.4103513667176964E-3</c:v>
                </c:pt>
                <c:pt idx="39">
                  <c:v>1.9252353397072558E-3</c:v>
                </c:pt>
                <c:pt idx="40">
                  <c:v>1.076844066997951E-3</c:v>
                </c:pt>
                <c:pt idx="41">
                  <c:v>5.9683163495085321E-4</c:v>
                </c:pt>
                <c:pt idx="42">
                  <c:v>3.2781194065919763E-4</c:v>
                </c:pt>
                <c:pt idx="43">
                  <c:v>1.7844887581845229E-4</c:v>
                </c:pt>
                <c:pt idx="44">
                  <c:v>9.6285209417072026E-5</c:v>
                </c:pt>
                <c:pt idx="45">
                  <c:v>5.1499281313752725E-5</c:v>
                </c:pt>
                <c:pt idx="46">
                  <c:v>2.7307144926513432E-5</c:v>
                </c:pt>
                <c:pt idx="47">
                  <c:v>1.4355600273587929E-5</c:v>
                </c:pt>
                <c:pt idx="48">
                  <c:v>7.4829270925212899E-6</c:v>
                </c:pt>
                <c:pt idx="49">
                  <c:v>3.8677710604554667E-6</c:v>
                </c:pt>
                <c:pt idx="50">
                  <c:v>1.9825401336670065E-6</c:v>
                </c:pt>
                <c:pt idx="51">
                  <c:v>1.0078294655264358E-6</c:v>
                </c:pt>
                <c:pt idx="52">
                  <c:v>5.0814402068382872E-7</c:v>
                </c:pt>
                <c:pt idx="53">
                  <c:v>2.5412724479578366E-7</c:v>
                </c:pt>
                <c:pt idx="54">
                  <c:v>1.2606929591591581E-7</c:v>
                </c:pt>
                <c:pt idx="55">
                  <c:v>6.2042505537411832E-8</c:v>
                </c:pt>
                <c:pt idx="56">
                  <c:v>3.0291350856888568E-8</c:v>
                </c:pt>
                <c:pt idx="57">
                  <c:v>1.4673168919348159E-8</c:v>
                </c:pt>
                <c:pt idx="58">
                  <c:v>7.052304914572601E-9</c:v>
                </c:pt>
                <c:pt idx="59">
                  <c:v>3.3632981437191775E-9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5-4384-BC0D-429644E22827}"/>
            </c:ext>
          </c:extLst>
        </c:ser>
        <c:ser>
          <c:idx val="2"/>
          <c:order val="2"/>
          <c:spPr>
            <a:solidFill>
              <a:schemeClr val="accent2"/>
            </a:solidFill>
          </c:spPr>
          <c:invertIfNegative val="0"/>
          <c:val>
            <c:numRef>
              <c:f>'Weibul (2)'!$G$6:$G$65</c:f>
              <c:numCache>
                <c:formatCode>0.00</c:formatCode>
                <c:ptCount val="60"/>
                <c:pt idx="0">
                  <c:v>0.33728392026022813</c:v>
                </c:pt>
                <c:pt idx="1">
                  <c:v>3.7674613039222686</c:v>
                </c:pt>
                <c:pt idx="2">
                  <c:v>14.500822304610054</c:v>
                </c:pt>
                <c:pt idx="3">
                  <c:v>35.618168049515759</c:v>
                </c:pt>
                <c:pt idx="4">
                  <c:v>67.817364343231162</c:v>
                </c:pt>
                <c:pt idx="5">
                  <c:v>109.22419059468925</c:v>
                </c:pt>
                <c:pt idx="6">
                  <c:v>155.9600485493427</c:v>
                </c:pt>
                <c:pt idx="7">
                  <c:v>203.10774670437434</c:v>
                </c:pt>
                <c:pt idx="8">
                  <c:v>245.74129665787896</c:v>
                </c:pt>
                <c:pt idx="9">
                  <c:v>279.7737709743559</c:v>
                </c:pt>
                <c:pt idx="10">
                  <c:v>302.49033536044664</c:v>
                </c:pt>
                <c:pt idx="11">
                  <c:v>312.73873867547434</c:v>
                </c:pt>
                <c:pt idx="12">
                  <c:v>310.82681309830178</c:v>
                </c:pt>
                <c:pt idx="13">
                  <c:v>298.21896462758195</c:v>
                </c:pt>
                <c:pt idx="14">
                  <c:v>277.13423122797673</c:v>
                </c:pt>
                <c:pt idx="15">
                  <c:v>250.13593341265403</c:v>
                </c:pt>
                <c:pt idx="16">
                  <c:v>219.77763526390103</c:v>
                </c:pt>
                <c:pt idx="17">
                  <c:v>188.341340421708</c:v>
                </c:pt>
                <c:pt idx="18">
                  <c:v>157.67819150675479</c:v>
                </c:pt>
                <c:pt idx="19">
                  <c:v>129.14303417964882</c:v>
                </c:pt>
                <c:pt idx="20">
                  <c:v>103.60305493650381</c:v>
                </c:pt>
                <c:pt idx="21">
                  <c:v>81.496495102787421</c:v>
                </c:pt>
                <c:pt idx="22">
                  <c:v>62.918406851343882</c:v>
                </c:pt>
                <c:pt idx="23">
                  <c:v>47.714517931084814</c:v>
                </c:pt>
                <c:pt idx="24">
                  <c:v>35.569698643602756</c:v>
                </c:pt>
                <c:pt idx="25">
                  <c:v>26.082931075635528</c:v>
                </c:pt>
                <c:pt idx="26">
                  <c:v>18.825242803202769</c:v>
                </c:pt>
                <c:pt idx="27">
                  <c:v>13.380420325721989</c:v>
                </c:pt>
                <c:pt idx="28">
                  <c:v>9.3704337435539582</c:v>
                </c:pt>
                <c:pt idx="29">
                  <c:v>6.4685610875232689</c:v>
                </c:pt>
                <c:pt idx="30">
                  <c:v>4.4034672547744727</c:v>
                </c:pt>
                <c:pt idx="31">
                  <c:v>2.9572475728950245</c:v>
                </c:pt>
                <c:pt idx="32">
                  <c:v>1.9599295815814306</c:v>
                </c:pt>
                <c:pt idx="33">
                  <c:v>1.2823184352347086</c:v>
                </c:pt>
                <c:pt idx="34">
                  <c:v>0.82848876788062953</c:v>
                </c:pt>
                <c:pt idx="35">
                  <c:v>0.52873290285593133</c:v>
                </c:pt>
                <c:pt idx="36">
                  <c:v>0.33339612453134582</c:v>
                </c:pt>
                <c:pt idx="37">
                  <c:v>0.20776263340341797</c:v>
                </c:pt>
                <c:pt idx="38">
                  <c:v>0.12798484927330894</c:v>
                </c:pt>
                <c:pt idx="39">
                  <c:v>7.7952385999575408E-2</c:v>
                </c:pt>
                <c:pt idx="40">
                  <c:v>4.6953719758949776E-2</c:v>
                </c:pt>
                <c:pt idx="41">
                  <c:v>2.7974692393416389E-2</c:v>
                </c:pt>
                <c:pt idx="42">
                  <c:v>1.6489054345830929E-2</c:v>
                </c:pt>
                <c:pt idx="43">
                  <c:v>9.6169522483528606E-3</c:v>
                </c:pt>
                <c:pt idx="44">
                  <c:v>5.5508914480010482E-3</c:v>
                </c:pt>
                <c:pt idx="45">
                  <c:v>3.1713215392779283E-3</c:v>
                </c:pt>
                <c:pt idx="46">
                  <c:v>1.7936408354870923E-3</c:v>
                </c:pt>
                <c:pt idx="47">
                  <c:v>1.0044092022276679E-3</c:v>
                </c:pt>
                <c:pt idx="48">
                  <c:v>5.5696174642345215E-4</c:v>
                </c:pt>
                <c:pt idx="49">
                  <c:v>3.0586965018908026E-4</c:v>
                </c:pt>
                <c:pt idx="50">
                  <c:v>1.663788544776107E-4</c:v>
                </c:pt>
                <c:pt idx="51">
                  <c:v>8.9652560207162738E-5</c:v>
                </c:pt>
                <c:pt idx="52">
                  <c:v>4.786080976301505E-5</c:v>
                </c:pt>
                <c:pt idx="53">
                  <c:v>2.5316176871637175E-5</c:v>
                </c:pt>
                <c:pt idx="54">
                  <c:v>1.3269758211190313E-5</c:v>
                </c:pt>
                <c:pt idx="55">
                  <c:v>6.8931705352286039E-6</c:v>
                </c:pt>
                <c:pt idx="56">
                  <c:v>3.5490230676823E-6</c:v>
                </c:pt>
                <c:pt idx="57">
                  <c:v>1.8112296195907675E-6</c:v>
                </c:pt>
                <c:pt idx="58">
                  <c:v>9.1633174005204473E-7</c:v>
                </c:pt>
                <c:pt idx="59">
                  <c:v>4.5960498714986961E-7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5-4384-BC0D-429644E22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571192"/>
        <c:axId val="386574328"/>
      </c:barChart>
      <c:catAx>
        <c:axId val="3865711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/>
                  <a:t>Wind speed [m/s]</a:t>
                </a:r>
              </a:p>
            </c:rich>
          </c:tx>
          <c:layout>
            <c:manualLayout>
              <c:xMode val="edge"/>
              <c:yMode val="edge"/>
              <c:x val="0.39875310451844942"/>
              <c:y val="0.89604436917669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E"/>
          </a:p>
        </c:txPr>
        <c:crossAx val="386574328"/>
        <c:crosses val="autoZero"/>
        <c:auto val="1"/>
        <c:lblAlgn val="ctr"/>
        <c:lblOffset val="100"/>
        <c:noMultiLvlLbl val="1"/>
      </c:catAx>
      <c:valAx>
        <c:axId val="386574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>
                    <a:solidFill>
                      <a:schemeClr val="accent1"/>
                    </a:solidFill>
                  </a:rPr>
                  <a:t>[Hour/year]</a:t>
                </a:r>
              </a:p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>
                    <a:solidFill>
                      <a:schemeClr val="accent2"/>
                    </a:solidFill>
                  </a:rPr>
                  <a:t>kWh/m2/year</a:t>
                </a:r>
              </a:p>
            </c:rich>
          </c:tx>
          <c:layout>
            <c:manualLayout>
              <c:xMode val="edge"/>
              <c:yMode val="edge"/>
              <c:x val="1.3588520259815252E-2"/>
              <c:y val="0.35106192797572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E"/>
          </a:p>
        </c:txPr>
        <c:crossAx val="386571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SE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sv-SE"/>
              <a:t>Wind distribution</a:t>
            </a:r>
            <a:r>
              <a:rPr lang="sv-SE" baseline="0"/>
              <a:t>  </a:t>
            </a:r>
            <a:endParaRPr lang="sv-SE"/>
          </a:p>
        </c:rich>
      </c:tx>
      <c:layout>
        <c:manualLayout>
          <c:xMode val="edge"/>
          <c:yMode val="edge"/>
          <c:x val="0.38467781446678723"/>
          <c:y val="4.05875540502004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38740840769574"/>
          <c:y val="0.12154696132596685"/>
          <c:w val="0.80645330656356384"/>
          <c:h val="0.70718232044198892"/>
        </c:manualLayout>
      </c:layout>
      <c:barChart>
        <c:barDir val="col"/>
        <c:grouping val="clustere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invertIfNegative val="0"/>
          <c:val>
            <c:numRef>
              <c:f>'Weibul (2)'!$E$6:$E$65</c:f>
              <c:numCache>
                <c:formatCode>General</c:formatCode>
                <c:ptCount val="60"/>
                <c:pt idx="0">
                  <c:v>544.00632300036796</c:v>
                </c:pt>
                <c:pt idx="1">
                  <c:v>759.5688112746509</c:v>
                </c:pt>
                <c:pt idx="2">
                  <c:v>866.23789155376676</c:v>
                </c:pt>
                <c:pt idx="3">
                  <c:v>897.63528350594152</c:v>
                </c:pt>
                <c:pt idx="4">
                  <c:v>875.06276571911178</c:v>
                </c:pt>
                <c:pt idx="5">
                  <c:v>815.59282104756016</c:v>
                </c:pt>
                <c:pt idx="6">
                  <c:v>733.37745015208645</c:v>
                </c:pt>
                <c:pt idx="7">
                  <c:v>639.83035126125981</c:v>
                </c:pt>
                <c:pt idx="8">
                  <c:v>543.69949258347481</c:v>
                </c:pt>
                <c:pt idx="9">
                  <c:v>451.24801770057405</c:v>
                </c:pt>
                <c:pt idx="10">
                  <c:v>366.55720336449269</c:v>
                </c:pt>
                <c:pt idx="11">
                  <c:v>291.90817155342216</c:v>
                </c:pt>
                <c:pt idx="12">
                  <c:v>228.19006350177054</c:v>
                </c:pt>
                <c:pt idx="13">
                  <c:v>175.29093660513377</c:v>
                </c:pt>
                <c:pt idx="14">
                  <c:v>132.44168756414658</c:v>
                </c:pt>
                <c:pt idx="15">
                  <c:v>98.497327610199576</c:v>
                </c:pt>
                <c:pt idx="16">
                  <c:v>72.151446545340875</c:v>
                </c:pt>
                <c:pt idx="17">
                  <c:v>52.087852455227001</c:v>
                </c:pt>
                <c:pt idx="18">
                  <c:v>37.078242268635698</c:v>
                </c:pt>
                <c:pt idx="19">
                  <c:v>26.036902052348555</c:v>
                </c:pt>
                <c:pt idx="20">
                  <c:v>18.043591567918156</c:v>
                </c:pt>
                <c:pt idx="21">
                  <c:v>12.344661893614342</c:v>
                </c:pt>
                <c:pt idx="22">
                  <c:v>8.3407003676448834</c:v>
                </c:pt>
                <c:pt idx="23">
                  <c:v>5.567050049829751</c:v>
                </c:pt>
                <c:pt idx="24">
                  <c:v>3.6717108277267365</c:v>
                </c:pt>
                <c:pt idx="25">
                  <c:v>2.3935618838404578</c:v>
                </c:pt>
                <c:pt idx="26">
                  <c:v>1.5426151930028675</c:v>
                </c:pt>
                <c:pt idx="27">
                  <c:v>0.98311420854606446</c:v>
                </c:pt>
                <c:pt idx="28">
                  <c:v>0.61968931945482808</c:v>
                </c:pt>
                <c:pt idx="29">
                  <c:v>0.38641344608860628</c:v>
                </c:pt>
                <c:pt idx="30">
                  <c:v>0.23840644959749011</c:v>
                </c:pt>
                <c:pt idx="31">
                  <c:v>0.14556134490450087</c:v>
                </c:pt>
                <c:pt idx="32">
                  <c:v>8.7964402829567814E-2</c:v>
                </c:pt>
                <c:pt idx="33">
                  <c:v>5.2622011517940742E-2</c:v>
                </c:pt>
                <c:pt idx="34">
                  <c:v>3.1166698688258426E-2</c:v>
                </c:pt>
                <c:pt idx="35">
                  <c:v>1.8278356580211354E-2</c:v>
                </c:pt>
                <c:pt idx="36">
                  <c:v>1.0616067848458673E-2</c:v>
                </c:pt>
                <c:pt idx="37">
                  <c:v>6.1069584053509273E-3</c:v>
                </c:pt>
                <c:pt idx="38">
                  <c:v>3.4799503742017311E-3</c:v>
                </c:pt>
                <c:pt idx="39">
                  <c:v>1.9645258568441386E-3</c:v>
                </c:pt>
                <c:pt idx="40">
                  <c:v>1.0988204765285214E-3</c:v>
                </c:pt>
                <c:pt idx="41">
                  <c:v>6.0901187239882984E-4</c:v>
                </c:pt>
                <c:pt idx="42">
                  <c:v>3.3450198026448738E-4</c:v>
                </c:pt>
                <c:pt idx="43">
                  <c:v>1.820906896106656E-4</c:v>
                </c:pt>
                <c:pt idx="44">
                  <c:v>9.8250213690889829E-5</c:v>
                </c:pt>
                <c:pt idx="45">
                  <c:v>5.2550287054849722E-5</c:v>
                </c:pt>
                <c:pt idx="46">
                  <c:v>2.7864433598483093E-5</c:v>
                </c:pt>
                <c:pt idx="47">
                  <c:v>1.4648571707742785E-5</c:v>
                </c:pt>
                <c:pt idx="48">
                  <c:v>7.6356398903278473E-6</c:v>
                </c:pt>
                <c:pt idx="49">
                  <c:v>3.9467051637300679E-6</c:v>
                </c:pt>
                <c:pt idx="50">
                  <c:v>2.0230001363949046E-6</c:v>
                </c:pt>
                <c:pt idx="51">
                  <c:v>1.0283974138024856E-6</c:v>
                </c:pt>
                <c:pt idx="52">
                  <c:v>5.1851430682023336E-7</c:v>
                </c:pt>
                <c:pt idx="53">
                  <c:v>2.5931351509773845E-7</c:v>
                </c:pt>
                <c:pt idx="54">
                  <c:v>1.2864213868971002E-7</c:v>
                </c:pt>
                <c:pt idx="55">
                  <c:v>6.3308679119807994E-8</c:v>
                </c:pt>
                <c:pt idx="56">
                  <c:v>3.090954169070262E-8</c:v>
                </c:pt>
                <c:pt idx="57">
                  <c:v>1.4972621346273633E-8</c:v>
                </c:pt>
                <c:pt idx="58">
                  <c:v>7.1962295046659198E-9</c:v>
                </c:pt>
                <c:pt idx="59">
                  <c:v>3.4319368813460993E-9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B-4ABA-B0F4-CF7357D01DBF}"/>
            </c:ext>
          </c:extLst>
        </c:ser>
        <c:ser>
          <c:idx val="1"/>
          <c:order val="1"/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val>
            <c:numRef>
              <c:f>'Weibul (2)'!$F$6:$F$65</c:f>
              <c:numCache>
                <c:formatCode>0</c:formatCode>
                <c:ptCount val="60"/>
                <c:pt idx="0">
                  <c:v>533.12619654036064</c:v>
                </c:pt>
                <c:pt idx="1">
                  <c:v>744.37743504915784</c:v>
                </c:pt>
                <c:pt idx="2">
                  <c:v>848.91313372269144</c:v>
                </c:pt>
                <c:pt idx="3">
                  <c:v>879.68257783582271</c:v>
                </c:pt>
                <c:pt idx="4">
                  <c:v>857.56151040472957</c:v>
                </c:pt>
                <c:pt idx="5">
                  <c:v>799.28096462660892</c:v>
                </c:pt>
                <c:pt idx="6">
                  <c:v>718.70990114904475</c:v>
                </c:pt>
                <c:pt idx="7">
                  <c:v>627.03374423603464</c:v>
                </c:pt>
                <c:pt idx="8">
                  <c:v>532.82550273180527</c:v>
                </c:pt>
                <c:pt idx="9">
                  <c:v>442.22305734656254</c:v>
                </c:pt>
                <c:pt idx="10">
                  <c:v>359.22605929720282</c:v>
                </c:pt>
                <c:pt idx="11">
                  <c:v>286.07000812235373</c:v>
                </c:pt>
                <c:pt idx="12">
                  <c:v>223.62626223173513</c:v>
                </c:pt>
                <c:pt idx="13">
                  <c:v>171.78511787303108</c:v>
                </c:pt>
                <c:pt idx="14">
                  <c:v>129.79285381286365</c:v>
                </c:pt>
                <c:pt idx="15">
                  <c:v>96.527381057995584</c:v>
                </c:pt>
                <c:pt idx="16">
                  <c:v>70.708417614434055</c:v>
                </c:pt>
                <c:pt idx="17">
                  <c:v>51.046095406122461</c:v>
                </c:pt>
                <c:pt idx="18">
                  <c:v>36.336677423262984</c:v>
                </c:pt>
                <c:pt idx="19">
                  <c:v>25.516164011301584</c:v>
                </c:pt>
                <c:pt idx="20">
                  <c:v>17.682719736559793</c:v>
                </c:pt>
                <c:pt idx="21">
                  <c:v>12.097768655742055</c:v>
                </c:pt>
                <c:pt idx="22">
                  <c:v>8.173886360291986</c:v>
                </c:pt>
                <c:pt idx="23">
                  <c:v>5.4557090488331559</c:v>
                </c:pt>
                <c:pt idx="24">
                  <c:v>3.5982766111722015</c:v>
                </c:pt>
                <c:pt idx="25">
                  <c:v>2.3456906461636486</c:v>
                </c:pt>
                <c:pt idx="26">
                  <c:v>1.5117628891428101</c:v>
                </c:pt>
                <c:pt idx="27">
                  <c:v>0.96345192437514315</c:v>
                </c:pt>
                <c:pt idx="28">
                  <c:v>0.60729553306573147</c:v>
                </c:pt>
                <c:pt idx="29">
                  <c:v>0.37868517716683414</c:v>
                </c:pt>
                <c:pt idx="30">
                  <c:v>0.2336383206055403</c:v>
                </c:pt>
                <c:pt idx="31">
                  <c:v>0.14265011800641086</c:v>
                </c:pt>
                <c:pt idx="32">
                  <c:v>8.620511477297646E-2</c:v>
                </c:pt>
                <c:pt idx="33">
                  <c:v>5.1569571287581925E-2</c:v>
                </c:pt>
                <c:pt idx="34">
                  <c:v>3.0543364714493256E-2</c:v>
                </c:pt>
                <c:pt idx="35">
                  <c:v>1.7912789448607126E-2</c:v>
                </c:pt>
                <c:pt idx="36">
                  <c:v>1.0403746491489499E-2</c:v>
                </c:pt>
                <c:pt idx="37">
                  <c:v>5.9848192372439083E-3</c:v>
                </c:pt>
                <c:pt idx="38">
                  <c:v>3.4103513667176964E-3</c:v>
                </c:pt>
                <c:pt idx="39">
                  <c:v>1.9252353397072558E-3</c:v>
                </c:pt>
                <c:pt idx="40">
                  <c:v>1.076844066997951E-3</c:v>
                </c:pt>
                <c:pt idx="41">
                  <c:v>5.9683163495085321E-4</c:v>
                </c:pt>
                <c:pt idx="42">
                  <c:v>3.2781194065919763E-4</c:v>
                </c:pt>
                <c:pt idx="43">
                  <c:v>1.7844887581845229E-4</c:v>
                </c:pt>
                <c:pt idx="44">
                  <c:v>9.6285209417072026E-5</c:v>
                </c:pt>
                <c:pt idx="45">
                  <c:v>5.1499281313752725E-5</c:v>
                </c:pt>
                <c:pt idx="46">
                  <c:v>2.7307144926513432E-5</c:v>
                </c:pt>
                <c:pt idx="47">
                  <c:v>1.4355600273587929E-5</c:v>
                </c:pt>
                <c:pt idx="48">
                  <c:v>7.4829270925212899E-6</c:v>
                </c:pt>
                <c:pt idx="49">
                  <c:v>3.8677710604554667E-6</c:v>
                </c:pt>
                <c:pt idx="50">
                  <c:v>1.9825401336670065E-6</c:v>
                </c:pt>
                <c:pt idx="51">
                  <c:v>1.0078294655264358E-6</c:v>
                </c:pt>
                <c:pt idx="52">
                  <c:v>5.0814402068382872E-7</c:v>
                </c:pt>
                <c:pt idx="53">
                  <c:v>2.5412724479578366E-7</c:v>
                </c:pt>
                <c:pt idx="54">
                  <c:v>1.2606929591591581E-7</c:v>
                </c:pt>
                <c:pt idx="55">
                  <c:v>6.2042505537411832E-8</c:v>
                </c:pt>
                <c:pt idx="56">
                  <c:v>3.0291350856888568E-8</c:v>
                </c:pt>
                <c:pt idx="57">
                  <c:v>1.4673168919348159E-8</c:v>
                </c:pt>
                <c:pt idx="58">
                  <c:v>7.052304914572601E-9</c:v>
                </c:pt>
                <c:pt idx="59">
                  <c:v>3.3632981437191775E-9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B-4ABA-B0F4-CF7357D0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571192"/>
        <c:axId val="386574328"/>
      </c:barChart>
      <c:catAx>
        <c:axId val="3865711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/>
                  <a:t>Wind speed [m/s]</a:t>
                </a:r>
              </a:p>
            </c:rich>
          </c:tx>
          <c:layout>
            <c:manualLayout>
              <c:xMode val="edge"/>
              <c:yMode val="edge"/>
              <c:x val="0.39875310451844942"/>
              <c:y val="0.89604436917669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E"/>
          </a:p>
        </c:txPr>
        <c:crossAx val="386574328"/>
        <c:crosses val="autoZero"/>
        <c:auto val="1"/>
        <c:lblAlgn val="ctr"/>
        <c:lblOffset val="100"/>
        <c:noMultiLvlLbl val="1"/>
      </c:catAx>
      <c:valAx>
        <c:axId val="386574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/>
                  <a:t>[Hour/year]</a:t>
                </a:r>
              </a:p>
            </c:rich>
          </c:tx>
          <c:layout>
            <c:manualLayout>
              <c:xMode val="edge"/>
              <c:yMode val="edge"/>
              <c:x val="3.8436339779756218E-2"/>
              <c:y val="0.32960299612594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E"/>
          </a:p>
        </c:txPr>
        <c:crossAx val="386571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SE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Annaual Energy Dist and Generated energy</a:t>
            </a:r>
          </a:p>
        </c:rich>
      </c:tx>
      <c:layout>
        <c:manualLayout>
          <c:xMode val="edge"/>
          <c:yMode val="edge"/>
          <c:x val="0.28896499070086429"/>
          <c:y val="1.91514902730197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38740840769574"/>
          <c:y val="0.12154696132596685"/>
          <c:w val="0.80645330656356384"/>
          <c:h val="0.70718232044198892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chemeClr val="accent2"/>
            </a:solidFill>
          </c:spPr>
          <c:invertIfNegative val="0"/>
          <c:val>
            <c:numRef>
              <c:f>'Weibul (2)'!$G$6:$G$65</c:f>
              <c:numCache>
                <c:formatCode>0.00</c:formatCode>
                <c:ptCount val="60"/>
                <c:pt idx="0">
                  <c:v>0.33728392026022813</c:v>
                </c:pt>
                <c:pt idx="1">
                  <c:v>3.7674613039222686</c:v>
                </c:pt>
                <c:pt idx="2">
                  <c:v>14.500822304610054</c:v>
                </c:pt>
                <c:pt idx="3">
                  <c:v>35.618168049515759</c:v>
                </c:pt>
                <c:pt idx="4">
                  <c:v>67.817364343231162</c:v>
                </c:pt>
                <c:pt idx="5">
                  <c:v>109.22419059468925</c:v>
                </c:pt>
                <c:pt idx="6">
                  <c:v>155.9600485493427</c:v>
                </c:pt>
                <c:pt idx="7">
                  <c:v>203.10774670437434</c:v>
                </c:pt>
                <c:pt idx="8">
                  <c:v>245.74129665787896</c:v>
                </c:pt>
                <c:pt idx="9">
                  <c:v>279.7737709743559</c:v>
                </c:pt>
                <c:pt idx="10">
                  <c:v>302.49033536044664</c:v>
                </c:pt>
                <c:pt idx="11">
                  <c:v>312.73873867547434</c:v>
                </c:pt>
                <c:pt idx="12">
                  <c:v>310.82681309830178</c:v>
                </c:pt>
                <c:pt idx="13">
                  <c:v>298.21896462758195</c:v>
                </c:pt>
                <c:pt idx="14">
                  <c:v>277.13423122797673</c:v>
                </c:pt>
                <c:pt idx="15">
                  <c:v>250.13593341265403</c:v>
                </c:pt>
                <c:pt idx="16">
                  <c:v>219.77763526390103</c:v>
                </c:pt>
                <c:pt idx="17">
                  <c:v>188.341340421708</c:v>
                </c:pt>
                <c:pt idx="18">
                  <c:v>157.67819150675479</c:v>
                </c:pt>
                <c:pt idx="19">
                  <c:v>129.14303417964882</c:v>
                </c:pt>
                <c:pt idx="20">
                  <c:v>103.60305493650381</c:v>
                </c:pt>
                <c:pt idx="21">
                  <c:v>81.496495102787421</c:v>
                </c:pt>
                <c:pt idx="22">
                  <c:v>62.918406851343882</c:v>
                </c:pt>
                <c:pt idx="23">
                  <c:v>47.714517931084814</c:v>
                </c:pt>
                <c:pt idx="24">
                  <c:v>35.569698643602756</c:v>
                </c:pt>
                <c:pt idx="25">
                  <c:v>26.082931075635528</c:v>
                </c:pt>
                <c:pt idx="26">
                  <c:v>18.825242803202769</c:v>
                </c:pt>
                <c:pt idx="27">
                  <c:v>13.380420325721989</c:v>
                </c:pt>
                <c:pt idx="28">
                  <c:v>9.3704337435539582</c:v>
                </c:pt>
                <c:pt idx="29">
                  <c:v>6.4685610875232689</c:v>
                </c:pt>
                <c:pt idx="30">
                  <c:v>4.4034672547744727</c:v>
                </c:pt>
                <c:pt idx="31">
                  <c:v>2.9572475728950245</c:v>
                </c:pt>
                <c:pt idx="32">
                  <c:v>1.9599295815814306</c:v>
                </c:pt>
                <c:pt idx="33">
                  <c:v>1.2823184352347086</c:v>
                </c:pt>
                <c:pt idx="34">
                  <c:v>0.82848876788062953</c:v>
                </c:pt>
                <c:pt idx="35">
                  <c:v>0.52873290285593133</c:v>
                </c:pt>
                <c:pt idx="36">
                  <c:v>0.33339612453134582</c:v>
                </c:pt>
                <c:pt idx="37">
                  <c:v>0.20776263340341797</c:v>
                </c:pt>
                <c:pt idx="38">
                  <c:v>0.12798484927330894</c:v>
                </c:pt>
                <c:pt idx="39">
                  <c:v>7.7952385999575408E-2</c:v>
                </c:pt>
                <c:pt idx="40">
                  <c:v>4.6953719758949776E-2</c:v>
                </c:pt>
                <c:pt idx="41">
                  <c:v>2.7974692393416389E-2</c:v>
                </c:pt>
                <c:pt idx="42">
                  <c:v>1.6489054345830929E-2</c:v>
                </c:pt>
                <c:pt idx="43">
                  <c:v>9.6169522483528606E-3</c:v>
                </c:pt>
                <c:pt idx="44">
                  <c:v>5.5508914480010482E-3</c:v>
                </c:pt>
                <c:pt idx="45">
                  <c:v>3.1713215392779283E-3</c:v>
                </c:pt>
                <c:pt idx="46">
                  <c:v>1.7936408354870923E-3</c:v>
                </c:pt>
                <c:pt idx="47">
                  <c:v>1.0044092022276679E-3</c:v>
                </c:pt>
                <c:pt idx="48">
                  <c:v>5.5696174642345215E-4</c:v>
                </c:pt>
                <c:pt idx="49">
                  <c:v>3.0586965018908026E-4</c:v>
                </c:pt>
                <c:pt idx="50">
                  <c:v>1.663788544776107E-4</c:v>
                </c:pt>
                <c:pt idx="51">
                  <c:v>8.9652560207162738E-5</c:v>
                </c:pt>
                <c:pt idx="52">
                  <c:v>4.786080976301505E-5</c:v>
                </c:pt>
                <c:pt idx="53">
                  <c:v>2.5316176871637175E-5</c:v>
                </c:pt>
                <c:pt idx="54">
                  <c:v>1.3269758211190313E-5</c:v>
                </c:pt>
                <c:pt idx="55">
                  <c:v>6.8931705352286039E-6</c:v>
                </c:pt>
                <c:pt idx="56">
                  <c:v>3.5490230676823E-6</c:v>
                </c:pt>
                <c:pt idx="57">
                  <c:v>1.8112296195907675E-6</c:v>
                </c:pt>
                <c:pt idx="58">
                  <c:v>9.1633174005204473E-7</c:v>
                </c:pt>
                <c:pt idx="59">
                  <c:v>4.5960498714986961E-7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8-4CBC-9858-AF574B9E8A1E}"/>
            </c:ext>
          </c:extLst>
        </c:ser>
        <c:ser>
          <c:idx val="0"/>
          <c:order val="1"/>
          <c:invertIfNegative val="0"/>
          <c:val>
            <c:numRef>
              <c:f>'Weibul (2)'!$M$6:$M$65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6.0751195045163824</c:v>
                </c:pt>
                <c:pt idx="3">
                  <c:v>14.922231504344627</c:v>
                </c:pt>
                <c:pt idx="4">
                  <c:v>28.412084791596694</c:v>
                </c:pt>
                <c:pt idx="5">
                  <c:v>45.759474649645057</c:v>
                </c:pt>
                <c:pt idx="6">
                  <c:v>65.339462339747129</c:v>
                </c:pt>
                <c:pt idx="7">
                  <c:v>85.091990481797637</c:v>
                </c:pt>
                <c:pt idx="8">
                  <c:v>102.95331623481842</c:v>
                </c:pt>
                <c:pt idx="9">
                  <c:v>117.21122134970641</c:v>
                </c:pt>
                <c:pt idx="10">
                  <c:v>126.72832599925911</c:v>
                </c:pt>
                <c:pt idx="11">
                  <c:v>98.901816456438212</c:v>
                </c:pt>
                <c:pt idx="12">
                  <c:v>77.313395022601625</c:v>
                </c:pt>
                <c:pt idx="13">
                  <c:v>59.390567747177002</c:v>
                </c:pt>
                <c:pt idx="14">
                  <c:v>44.872753664084946</c:v>
                </c:pt>
                <c:pt idx="15">
                  <c:v>33.37201752493872</c:v>
                </c:pt>
                <c:pt idx="16">
                  <c:v>24.445732660786003</c:v>
                </c:pt>
                <c:pt idx="17">
                  <c:v>17.64795824564337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2-4010-9884-85E60881F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571192"/>
        <c:axId val="386574328"/>
      </c:barChart>
      <c:catAx>
        <c:axId val="3865711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/>
                  <a:t>Wind speed [m/s]</a:t>
                </a:r>
              </a:p>
            </c:rich>
          </c:tx>
          <c:layout>
            <c:manualLayout>
              <c:xMode val="edge"/>
              <c:yMode val="edge"/>
              <c:x val="0.39875310451844942"/>
              <c:y val="0.89604436917669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E"/>
          </a:p>
        </c:txPr>
        <c:crossAx val="386574328"/>
        <c:crosses val="autoZero"/>
        <c:auto val="1"/>
        <c:lblAlgn val="ctr"/>
        <c:lblOffset val="100"/>
        <c:noMultiLvlLbl val="1"/>
      </c:catAx>
      <c:valAx>
        <c:axId val="386574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sv-SE" sz="1600">
                    <a:solidFill>
                      <a:schemeClr val="accent2"/>
                    </a:solidFill>
                  </a:rPr>
                  <a:t>kWh/m2/year</a:t>
                </a:r>
              </a:p>
            </c:rich>
          </c:tx>
          <c:layout>
            <c:manualLayout>
              <c:xMode val="edge"/>
              <c:yMode val="edge"/>
              <c:x val="7.1881258745095798E-4"/>
              <c:y val="0.3551898635616920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SE"/>
          </a:p>
        </c:txPr>
        <c:crossAx val="386571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SE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447674</xdr:colOff>
      <xdr:row>23</xdr:row>
      <xdr:rowOff>123825</xdr:rowOff>
    </xdr:from>
    <xdr:to>
      <xdr:col>28</xdr:col>
      <xdr:colOff>19049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114300</xdr:colOff>
      <xdr:row>7</xdr:row>
      <xdr:rowOff>66675</xdr:rowOff>
    </xdr:from>
    <xdr:ext cx="3885714" cy="406349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0875" y="1400175"/>
          <a:ext cx="3885714" cy="406349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1</xdr:row>
          <xdr:rowOff>171450</xdr:rowOff>
        </xdr:from>
        <xdr:to>
          <xdr:col>28</xdr:col>
          <xdr:colOff>485775</xdr:colOff>
          <xdr:row>6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476250</xdr:colOff>
      <xdr:row>6</xdr:row>
      <xdr:rowOff>76200</xdr:rowOff>
    </xdr:from>
    <xdr:to>
      <xdr:col>27</xdr:col>
      <xdr:colOff>476250</xdr:colOff>
      <xdr:row>22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504824</xdr:colOff>
      <xdr:row>39</xdr:row>
      <xdr:rowOff>123824</xdr:rowOff>
    </xdr:from>
    <xdr:to>
      <xdr:col>28</xdr:col>
      <xdr:colOff>133350</xdr:colOff>
      <xdr:row>55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31"/>
  <sheetViews>
    <sheetView tabSelected="1" topLeftCell="A1048576" zoomScale="110" zoomScaleNormal="110" workbookViewId="0">
      <pane ySplit="1800" activePane="bottomLeft"/>
      <selection activeCell="C1048576" sqref="C1:H1048576"/>
      <selection pane="bottomLeft" activeCell="F23" sqref="F22:F23"/>
    </sheetView>
  </sheetViews>
  <sheetFormatPr defaultColWidth="0" defaultRowHeight="15" zeroHeight="1" x14ac:dyDescent="0.25"/>
  <cols>
    <col min="1" max="1" width="1.28515625" customWidth="1"/>
    <col min="2" max="2" width="25.28515625" style="126" customWidth="1"/>
    <col min="3" max="3" width="17.140625" style="127" customWidth="1"/>
    <col min="4" max="4" width="9.28515625" style="127" customWidth="1"/>
    <col min="5" max="5" width="11.42578125" style="127" customWidth="1"/>
    <col min="6" max="6" width="8.28515625" style="127" customWidth="1"/>
    <col min="7" max="7" width="6.140625" style="127" customWidth="1"/>
    <col min="8" max="8" width="10" style="128" customWidth="1"/>
    <col min="9" max="9" width="9.28515625" style="128" customWidth="1"/>
    <col min="10" max="10" width="6.85546875" style="128" customWidth="1"/>
    <col min="11" max="11" width="6.140625" style="128" customWidth="1"/>
    <col min="12" max="12" width="9.140625" style="128" customWidth="1"/>
    <col min="13" max="13" width="6.42578125" style="128" customWidth="1"/>
    <col min="14" max="14" width="8.5703125" style="128" customWidth="1"/>
    <col min="15" max="15" width="8.7109375" style="128" customWidth="1"/>
    <col min="16" max="16" width="8.5703125" style="127" customWidth="1"/>
    <col min="17" max="17" width="10" style="127" customWidth="1"/>
    <col min="18" max="18" width="8" style="129" customWidth="1"/>
    <col min="19" max="19" width="8.140625" style="129" customWidth="1"/>
    <col min="20" max="20" width="8.7109375" style="130" customWidth="1"/>
    <col min="21" max="21" width="6.28515625" style="130" customWidth="1"/>
    <col min="22" max="22" width="10.42578125" style="130" customWidth="1"/>
    <col min="23" max="23" width="8.5703125" style="130" customWidth="1"/>
    <col min="24" max="24" width="7.5703125" style="130" customWidth="1"/>
    <col min="25" max="25" width="9" style="127" customWidth="1"/>
    <col min="26" max="26" width="4.140625" style="127" customWidth="1"/>
    <col min="27" max="27" width="10.28515625" style="127" customWidth="1"/>
    <col min="28" max="28" width="8.7109375" style="127" customWidth="1"/>
    <col min="29" max="29" width="8.42578125" style="127" customWidth="1"/>
    <col min="30" max="30" width="9.140625" style="127" customWidth="1"/>
    <col min="31" max="31" width="35.28515625" style="127" customWidth="1"/>
    <col min="32" max="32" width="2.140625" style="127" customWidth="1"/>
    <col min="33" max="96" width="0" style="127" hidden="1" customWidth="1"/>
    <col min="97" max="16384" width="9.140625" style="127" hidden="1"/>
  </cols>
  <sheetData>
    <row r="1" spans="1:32" customFormat="1" ht="30" customHeight="1" x14ac:dyDescent="0.35">
      <c r="B1" s="35" t="s">
        <v>110</v>
      </c>
      <c r="H1" s="2"/>
      <c r="I1" s="2"/>
      <c r="J1" s="2"/>
      <c r="K1" s="2"/>
      <c r="L1" s="2"/>
      <c r="M1" s="2"/>
      <c r="N1" s="2"/>
      <c r="O1" s="2"/>
      <c r="R1" s="15"/>
      <c r="S1" s="15"/>
      <c r="T1" s="8"/>
      <c r="U1" s="8"/>
      <c r="V1" s="8"/>
      <c r="W1" s="8"/>
      <c r="X1" s="8"/>
    </row>
    <row r="2" spans="1:32" customFormat="1" x14ac:dyDescent="0.25">
      <c r="B2" s="1"/>
      <c r="H2" s="3" t="s">
        <v>78</v>
      </c>
      <c r="I2" s="2"/>
      <c r="J2" s="2"/>
      <c r="K2" s="2"/>
      <c r="L2" s="2"/>
      <c r="M2" s="2"/>
      <c r="N2" s="2"/>
      <c r="O2" s="2"/>
      <c r="R2" s="15"/>
      <c r="S2" s="15"/>
      <c r="T2" s="8"/>
      <c r="U2" s="8"/>
      <c r="V2" s="8"/>
      <c r="W2" s="8"/>
      <c r="X2" s="8"/>
    </row>
    <row r="3" spans="1:32" customFormat="1" ht="17.100000000000001" customHeight="1" x14ac:dyDescent="0.25">
      <c r="B3" s="1"/>
      <c r="C3" t="s">
        <v>103</v>
      </c>
      <c r="D3" s="2" t="s">
        <v>4</v>
      </c>
      <c r="E3" s="2"/>
      <c r="F3" s="2"/>
      <c r="G3" s="2"/>
      <c r="H3" s="102" t="s">
        <v>3</v>
      </c>
      <c r="I3" s="2" t="s">
        <v>27</v>
      </c>
      <c r="J3" s="73" t="s">
        <v>76</v>
      </c>
      <c r="K3" s="2" t="s">
        <v>74</v>
      </c>
      <c r="L3" s="13" t="s">
        <v>66</v>
      </c>
      <c r="M3" s="13" t="s">
        <v>9</v>
      </c>
      <c r="N3" s="13" t="s">
        <v>72</v>
      </c>
      <c r="O3" s="13" t="s">
        <v>29</v>
      </c>
      <c r="P3" s="63" t="s">
        <v>16</v>
      </c>
      <c r="Q3" s="61" t="s">
        <v>17</v>
      </c>
      <c r="R3" s="77" t="s">
        <v>28</v>
      </c>
      <c r="S3" s="78" t="s">
        <v>18</v>
      </c>
      <c r="T3" s="6" t="s">
        <v>99</v>
      </c>
      <c r="U3" s="82" t="s">
        <v>67</v>
      </c>
      <c r="V3" s="47" t="s">
        <v>79</v>
      </c>
      <c r="W3" s="6" t="s">
        <v>80</v>
      </c>
      <c r="X3" s="59" t="s">
        <v>81</v>
      </c>
      <c r="Y3" s="3" t="s">
        <v>100</v>
      </c>
      <c r="Z3" s="3" t="s">
        <v>26</v>
      </c>
      <c r="AA3" s="113" t="s">
        <v>25</v>
      </c>
      <c r="AB3" s="3" t="s">
        <v>23</v>
      </c>
      <c r="AC3" s="10" t="s">
        <v>24</v>
      </c>
      <c r="AE3" s="36" t="s">
        <v>102</v>
      </c>
    </row>
    <row r="4" spans="1:32" customFormat="1" ht="17.100000000000001" customHeight="1" x14ac:dyDescent="0.25">
      <c r="B4" s="1"/>
      <c r="E4" s="2"/>
      <c r="F4" s="2"/>
      <c r="G4" s="2"/>
      <c r="H4" s="102" t="s">
        <v>33</v>
      </c>
      <c r="I4" s="2" t="s">
        <v>30</v>
      </c>
      <c r="J4" s="73" t="s">
        <v>77</v>
      </c>
      <c r="K4" s="2" t="s">
        <v>75</v>
      </c>
      <c r="L4" s="13" t="s">
        <v>31</v>
      </c>
      <c r="M4" s="13" t="s">
        <v>32</v>
      </c>
      <c r="N4" s="13" t="s">
        <v>69</v>
      </c>
      <c r="O4" s="13" t="s">
        <v>73</v>
      </c>
      <c r="P4" s="63"/>
      <c r="Q4" s="61" t="s">
        <v>97</v>
      </c>
      <c r="R4" s="77" t="s">
        <v>98</v>
      </c>
      <c r="S4" s="78"/>
      <c r="T4" s="6"/>
      <c r="U4" s="82"/>
      <c r="V4" s="47"/>
      <c r="W4" s="6"/>
      <c r="X4" s="59"/>
      <c r="Y4" s="3" t="s">
        <v>101</v>
      </c>
      <c r="Z4" s="3"/>
      <c r="AA4" s="113"/>
      <c r="AB4" s="3"/>
      <c r="AC4" s="10"/>
      <c r="AD4" s="119" t="s">
        <v>108</v>
      </c>
    </row>
    <row r="5" spans="1:32" customFormat="1" ht="17.100000000000001" customHeight="1" thickBot="1" x14ac:dyDescent="0.3">
      <c r="B5" s="1" t="s">
        <v>71</v>
      </c>
      <c r="D5" s="2"/>
      <c r="E5" s="2" t="s">
        <v>0</v>
      </c>
      <c r="F5" s="2" t="s">
        <v>1</v>
      </c>
      <c r="G5" s="2" t="s">
        <v>2</v>
      </c>
      <c r="H5" s="103" t="s">
        <v>5</v>
      </c>
      <c r="I5" s="33" t="s">
        <v>6</v>
      </c>
      <c r="J5" s="33" t="s">
        <v>14</v>
      </c>
      <c r="K5" s="33" t="s">
        <v>13</v>
      </c>
      <c r="L5" s="34" t="s">
        <v>8</v>
      </c>
      <c r="M5" s="34" t="s">
        <v>8</v>
      </c>
      <c r="N5" s="34" t="s">
        <v>70</v>
      </c>
      <c r="O5" s="34" t="s">
        <v>5</v>
      </c>
      <c r="P5" s="64" t="s">
        <v>8</v>
      </c>
      <c r="Q5" s="62" t="s">
        <v>6</v>
      </c>
      <c r="R5" s="79" t="s">
        <v>6</v>
      </c>
      <c r="S5" s="80" t="s">
        <v>6</v>
      </c>
      <c r="T5" s="7" t="s">
        <v>20</v>
      </c>
      <c r="U5" s="82" t="s">
        <v>6</v>
      </c>
      <c r="V5" s="48" t="s">
        <v>82</v>
      </c>
      <c r="W5" s="70" t="s">
        <v>20</v>
      </c>
      <c r="X5" s="60" t="s">
        <v>83</v>
      </c>
      <c r="Y5" s="2" t="s">
        <v>22</v>
      </c>
      <c r="Z5" s="2" t="s">
        <v>13</v>
      </c>
      <c r="AA5" s="114" t="s">
        <v>68</v>
      </c>
      <c r="AB5" s="2" t="s">
        <v>14</v>
      </c>
      <c r="AC5" s="9" t="s">
        <v>14</v>
      </c>
      <c r="AD5" s="120" t="s">
        <v>109</v>
      </c>
    </row>
    <row r="6" spans="1:32" s="72" customFormat="1" ht="17.100000000000001" customHeight="1" x14ac:dyDescent="0.25">
      <c r="A6" s="76"/>
      <c r="B6" s="108" t="s">
        <v>111</v>
      </c>
      <c r="C6" s="131">
        <v>19990315</v>
      </c>
      <c r="D6" s="18">
        <v>1234</v>
      </c>
      <c r="E6" s="1">
        <v>1999</v>
      </c>
      <c r="F6" s="1">
        <v>5</v>
      </c>
      <c r="G6" s="1">
        <v>3</v>
      </c>
      <c r="H6" s="122">
        <f t="shared" ref="H6" si="0">INT(11+F6)/10</f>
        <v>1.6</v>
      </c>
      <c r="I6" s="123">
        <f t="shared" ref="I6" si="1">INT((6+G6/10)*10)/10-M6/50</f>
        <v>5.42</v>
      </c>
      <c r="J6" s="124">
        <f t="shared" ref="J6" si="2">F6*G6</f>
        <v>15</v>
      </c>
      <c r="K6" s="124">
        <f t="shared" ref="K6" si="3">ABS(2000-E6)+1</f>
        <v>2</v>
      </c>
      <c r="L6" s="124">
        <f t="shared" ref="L6" si="4">INT(31.9+INT(D6/100)/2)</f>
        <v>37</v>
      </c>
      <c r="M6" s="124">
        <f t="shared" ref="M6" si="5">INT(L6*1.2)</f>
        <v>44</v>
      </c>
      <c r="N6" s="124">
        <f t="shared" ref="N6" si="6">0.54-F6/100</f>
        <v>0.49000000000000005</v>
      </c>
      <c r="O6" s="125">
        <f t="shared" ref="O6" si="7">0.94-((D6-INT(D6/100)*100))/400</f>
        <v>0.85499999999999998</v>
      </c>
      <c r="P6" s="65">
        <f t="shared" ref="P6" si="8">J6/1000</f>
        <v>1.4999999999999999E-2</v>
      </c>
      <c r="Q6" s="50">
        <f t="shared" ref="Q6" si="9">I6*LOG(M6/P6)/LOG(10/P6)</f>
        <v>6.6549951172249653</v>
      </c>
      <c r="R6" s="81">
        <v>11</v>
      </c>
      <c r="S6" s="82">
        <v>18</v>
      </c>
      <c r="T6" s="67">
        <v>374.72580140486554</v>
      </c>
      <c r="U6" s="82">
        <v>2.369878159035073</v>
      </c>
      <c r="V6" s="51">
        <v>1019.7695314313576</v>
      </c>
      <c r="W6" s="52">
        <v>116.41204696704995</v>
      </c>
      <c r="X6" s="105">
        <v>2721</v>
      </c>
      <c r="Y6" s="53">
        <v>69.386890863266089</v>
      </c>
      <c r="Z6" s="54">
        <v>3</v>
      </c>
      <c r="AA6" s="115">
        <v>104.51042032917555</v>
      </c>
      <c r="AB6" s="53">
        <v>10.039333333333332</v>
      </c>
      <c r="AC6" s="55">
        <v>15.121227272727266</v>
      </c>
      <c r="AD6" s="121"/>
      <c r="AE6"/>
      <c r="AF6" s="1"/>
    </row>
    <row r="7" spans="1:32" customFormat="1" ht="17.100000000000001" customHeight="1" x14ac:dyDescent="0.25">
      <c r="A7" s="14"/>
      <c r="B7" s="108"/>
      <c r="C7" s="5"/>
      <c r="E7" s="1">
        <f t="shared" ref="E7:E10" si="10">INT(C7/10000)</f>
        <v>0</v>
      </c>
      <c r="F7" s="1">
        <f t="shared" ref="F7:F10" si="11">INT((C7-E7*10000)/100)</f>
        <v>0</v>
      </c>
      <c r="G7" s="1">
        <f t="shared" ref="G7:G9" si="12">INT(C7-E7*10000-F7*100)</f>
        <v>0</v>
      </c>
      <c r="H7" s="104">
        <f t="shared" ref="H7:H9" si="13">INT(11+F7)/10</f>
        <v>1.1000000000000001</v>
      </c>
      <c r="I7" s="68">
        <f t="shared" ref="I7:I10" si="14">INT((6+G7/10)*10)/10-M7/50</f>
        <v>5.26</v>
      </c>
      <c r="J7" s="56">
        <f t="shared" ref="J7:J9" si="15">F7*G7</f>
        <v>0</v>
      </c>
      <c r="K7" s="56">
        <f t="shared" ref="K7:K10" si="16">ABS(2000-E7)+1</f>
        <v>2001</v>
      </c>
      <c r="L7" s="56">
        <f t="shared" ref="L7:L9" si="17">INT(31.9+INT(D7/100)/2)</f>
        <v>31</v>
      </c>
      <c r="M7" s="56">
        <f t="shared" ref="M7:M9" si="18">INT(L7*1.2)</f>
        <v>37</v>
      </c>
      <c r="N7" s="56">
        <f t="shared" ref="N7:N9" si="19">0.54-F7/100</f>
        <v>0.54</v>
      </c>
      <c r="O7" s="69">
        <f t="shared" ref="O7:O9" si="20">0.94-((D7-INT(D7/100)*100))/400</f>
        <v>0.94</v>
      </c>
      <c r="P7" s="65">
        <f t="shared" ref="P7:P9" si="21">J7/1000</f>
        <v>0</v>
      </c>
      <c r="Q7" s="50" t="e">
        <f t="shared" ref="Q7:Q9" si="22">I7*LOG(M7/P7)/LOG(10/P7)</f>
        <v>#DIV/0!</v>
      </c>
      <c r="R7" s="81"/>
      <c r="S7" s="82"/>
      <c r="T7" s="67"/>
      <c r="U7" s="82"/>
      <c r="V7" s="51"/>
      <c r="W7" s="52"/>
      <c r="X7" s="105"/>
      <c r="Y7" s="53"/>
      <c r="Z7" s="54"/>
      <c r="AA7" s="115"/>
      <c r="AB7" s="53"/>
      <c r="AC7" s="55"/>
      <c r="AD7" s="121"/>
      <c r="AF7" s="1"/>
    </row>
    <row r="8" spans="1:32" s="46" customFormat="1" ht="17.100000000000001" customHeight="1" x14ac:dyDescent="0.25">
      <c r="A8" s="75"/>
      <c r="B8" s="108"/>
      <c r="C8" s="5"/>
      <c r="D8"/>
      <c r="E8" s="1">
        <f t="shared" si="10"/>
        <v>0</v>
      </c>
      <c r="F8" s="1">
        <f t="shared" si="11"/>
        <v>0</v>
      </c>
      <c r="G8" s="1">
        <f t="shared" si="12"/>
        <v>0</v>
      </c>
      <c r="H8" s="104">
        <f t="shared" si="13"/>
        <v>1.1000000000000001</v>
      </c>
      <c r="I8" s="68">
        <f t="shared" si="14"/>
        <v>5.26</v>
      </c>
      <c r="J8" s="56">
        <f t="shared" si="15"/>
        <v>0</v>
      </c>
      <c r="K8" s="56">
        <f t="shared" si="16"/>
        <v>2001</v>
      </c>
      <c r="L8" s="56">
        <f t="shared" si="17"/>
        <v>31</v>
      </c>
      <c r="M8" s="56">
        <f t="shared" si="18"/>
        <v>37</v>
      </c>
      <c r="N8" s="56">
        <f t="shared" si="19"/>
        <v>0.54</v>
      </c>
      <c r="O8" s="69">
        <f t="shared" si="20"/>
        <v>0.94</v>
      </c>
      <c r="P8" s="65">
        <f t="shared" si="21"/>
        <v>0</v>
      </c>
      <c r="Q8" s="50" t="e">
        <f t="shared" si="22"/>
        <v>#DIV/0!</v>
      </c>
      <c r="R8" s="81"/>
      <c r="S8" s="82"/>
      <c r="T8" s="67"/>
      <c r="U8" s="82"/>
      <c r="V8" s="51"/>
      <c r="W8" s="52"/>
      <c r="X8" s="105"/>
      <c r="Y8" s="53"/>
      <c r="Z8" s="54"/>
      <c r="AA8" s="115"/>
      <c r="AB8" s="53"/>
      <c r="AC8" s="55"/>
      <c r="AD8" s="83"/>
      <c r="AE8"/>
      <c r="AF8" s="83"/>
    </row>
    <row r="9" spans="1:32" customFormat="1" ht="17.100000000000001" customHeight="1" x14ac:dyDescent="0.25">
      <c r="A9" s="14"/>
      <c r="B9" s="108"/>
      <c r="C9" s="5"/>
      <c r="E9" s="1">
        <f t="shared" si="10"/>
        <v>0</v>
      </c>
      <c r="F9" s="1">
        <f t="shared" si="11"/>
        <v>0</v>
      </c>
      <c r="G9" s="1">
        <f t="shared" si="12"/>
        <v>0</v>
      </c>
      <c r="H9" s="104">
        <f t="shared" si="13"/>
        <v>1.1000000000000001</v>
      </c>
      <c r="I9" s="68">
        <f t="shared" si="14"/>
        <v>5.26</v>
      </c>
      <c r="J9" s="56">
        <f t="shared" si="15"/>
        <v>0</v>
      </c>
      <c r="K9" s="56">
        <f t="shared" si="16"/>
        <v>2001</v>
      </c>
      <c r="L9" s="56">
        <f t="shared" si="17"/>
        <v>31</v>
      </c>
      <c r="M9" s="56">
        <f t="shared" si="18"/>
        <v>37</v>
      </c>
      <c r="N9" s="56">
        <f t="shared" si="19"/>
        <v>0.54</v>
      </c>
      <c r="O9" s="69">
        <f t="shared" si="20"/>
        <v>0.94</v>
      </c>
      <c r="P9" s="65">
        <f t="shared" si="21"/>
        <v>0</v>
      </c>
      <c r="Q9" s="50" t="e">
        <f t="shared" si="22"/>
        <v>#DIV/0!</v>
      </c>
      <c r="R9" s="81"/>
      <c r="S9" s="82"/>
      <c r="T9" s="67"/>
      <c r="U9" s="82"/>
      <c r="V9" s="51"/>
      <c r="W9" s="52"/>
      <c r="X9" s="105"/>
      <c r="Y9" s="53"/>
      <c r="Z9" s="54"/>
      <c r="AA9" s="115"/>
      <c r="AB9" s="53"/>
      <c r="AC9" s="55"/>
      <c r="AD9" s="1"/>
      <c r="AF9" s="1"/>
    </row>
    <row r="10" spans="1:32" customFormat="1" ht="17.100000000000001" customHeight="1" x14ac:dyDescent="0.25">
      <c r="A10" s="14"/>
      <c r="B10" s="108"/>
      <c r="C10" s="5"/>
      <c r="E10" s="1">
        <f t="shared" si="10"/>
        <v>0</v>
      </c>
      <c r="F10" s="1">
        <f t="shared" si="11"/>
        <v>0</v>
      </c>
      <c r="G10" s="1">
        <f t="shared" ref="G10" si="23">INT(C10-E10*10000-F10*100)</f>
        <v>0</v>
      </c>
      <c r="H10" s="104">
        <f t="shared" ref="H10" si="24">INT(11+F10)/10</f>
        <v>1.1000000000000001</v>
      </c>
      <c r="I10" s="68">
        <f t="shared" si="14"/>
        <v>5.26</v>
      </c>
      <c r="J10" s="56">
        <f t="shared" ref="J10" si="25">F10*G10</f>
        <v>0</v>
      </c>
      <c r="K10" s="56">
        <f t="shared" si="16"/>
        <v>2001</v>
      </c>
      <c r="L10" s="56">
        <f t="shared" ref="L10" si="26">INT(31.9+INT(D10/100)/2)</f>
        <v>31</v>
      </c>
      <c r="M10" s="56">
        <f t="shared" ref="M10" si="27">INT(L10*1.2)</f>
        <v>37</v>
      </c>
      <c r="N10" s="56">
        <f t="shared" ref="N10" si="28">0.54-F10/100</f>
        <v>0.54</v>
      </c>
      <c r="O10" s="69">
        <f t="shared" ref="O10" si="29">0.94-((D10-INT(D10/100)*100))/400</f>
        <v>0.94</v>
      </c>
      <c r="P10" s="65">
        <f t="shared" ref="P10" si="30">J10/1000</f>
        <v>0</v>
      </c>
      <c r="Q10" s="50" t="e">
        <f t="shared" ref="Q10" si="31">I10*LOG(M10/P10)/LOG(10/P10)</f>
        <v>#DIV/0!</v>
      </c>
      <c r="R10" s="81"/>
      <c r="S10" s="82"/>
      <c r="T10" s="67"/>
      <c r="U10" s="82"/>
      <c r="V10" s="51"/>
      <c r="W10" s="52"/>
      <c r="X10" s="105"/>
      <c r="Y10" s="53"/>
      <c r="Z10" s="54"/>
      <c r="AA10" s="115"/>
      <c r="AB10" s="53"/>
      <c r="AC10" s="55"/>
      <c r="AD10" s="1"/>
      <c r="AF10" s="1"/>
    </row>
    <row r="11" spans="1:32" s="58" customFormat="1" ht="17.100000000000001" customHeight="1" thickBot="1" x14ac:dyDescent="0.3">
      <c r="A11" s="74"/>
      <c r="B11" s="108"/>
      <c r="C11" s="5"/>
      <c r="D11"/>
      <c r="E11" s="1"/>
      <c r="F11" s="1"/>
      <c r="G11" s="1"/>
      <c r="H11" s="104"/>
      <c r="I11" s="68"/>
      <c r="J11" s="56"/>
      <c r="K11" s="56"/>
      <c r="L11" s="56"/>
      <c r="M11" s="56"/>
      <c r="N11" s="56"/>
      <c r="O11" s="69"/>
      <c r="P11" s="65"/>
      <c r="Q11" s="50"/>
      <c r="R11" s="81"/>
      <c r="S11" s="82"/>
      <c r="T11" s="67"/>
      <c r="U11" s="82"/>
      <c r="V11" s="51"/>
      <c r="W11" s="52"/>
      <c r="X11" s="105"/>
      <c r="Y11" s="53"/>
      <c r="Z11" s="54"/>
      <c r="AA11" s="115"/>
      <c r="AB11" s="53"/>
      <c r="AC11" s="55"/>
      <c r="AD11" s="1"/>
      <c r="AE11"/>
      <c r="AF11" s="1"/>
    </row>
    <row r="12" spans="1:32" customFormat="1" ht="17.100000000000001" customHeight="1" thickBot="1" x14ac:dyDescent="0.3">
      <c r="B12" s="108"/>
      <c r="C12" s="29"/>
      <c r="E12" s="1"/>
      <c r="F12" s="1"/>
      <c r="G12" s="1"/>
      <c r="H12" s="57"/>
      <c r="I12" s="56"/>
      <c r="J12" s="56"/>
      <c r="K12" s="56"/>
      <c r="L12" s="56"/>
      <c r="M12" s="56"/>
      <c r="N12" s="56"/>
      <c r="O12" s="69"/>
      <c r="P12" s="1"/>
      <c r="Q12" s="71"/>
      <c r="R12" s="84"/>
      <c r="S12" s="71"/>
      <c r="T12" s="67"/>
      <c r="U12" s="67"/>
      <c r="V12" s="67"/>
      <c r="W12" s="67"/>
      <c r="X12" s="67"/>
      <c r="Y12" s="53"/>
      <c r="Z12" s="54"/>
      <c r="AA12" s="66"/>
      <c r="AB12" s="53"/>
      <c r="AC12" s="53"/>
      <c r="AD12" s="1"/>
      <c r="AF12" s="1"/>
    </row>
    <row r="13" spans="1:32" customFormat="1" ht="17.100000000000001" customHeight="1" thickBot="1" x14ac:dyDescent="0.3">
      <c r="B13" s="108"/>
      <c r="E13" s="1"/>
      <c r="F13" s="1"/>
      <c r="G13" s="1"/>
      <c r="H13" s="104" t="s">
        <v>3</v>
      </c>
      <c r="I13" s="56" t="s">
        <v>7</v>
      </c>
      <c r="J13" s="56" t="s">
        <v>15</v>
      </c>
      <c r="K13" s="56" t="s">
        <v>12</v>
      </c>
      <c r="L13" s="56" t="s">
        <v>66</v>
      </c>
      <c r="M13" s="56" t="s">
        <v>9</v>
      </c>
      <c r="N13" s="56" t="s">
        <v>10</v>
      </c>
      <c r="O13" s="69" t="s">
        <v>11</v>
      </c>
      <c r="P13" s="1" t="s">
        <v>16</v>
      </c>
      <c r="Q13" s="50" t="s">
        <v>17</v>
      </c>
      <c r="R13" s="84" t="s">
        <v>28</v>
      </c>
      <c r="S13" s="71" t="s">
        <v>18</v>
      </c>
      <c r="T13" s="67" t="s">
        <v>19</v>
      </c>
      <c r="U13" s="67"/>
      <c r="V13" s="67" t="s">
        <v>91</v>
      </c>
      <c r="W13" s="67" t="s">
        <v>92</v>
      </c>
      <c r="X13" s="67" t="s">
        <v>93</v>
      </c>
      <c r="Y13" s="53" t="s">
        <v>21</v>
      </c>
      <c r="Z13" s="54" t="s">
        <v>26</v>
      </c>
      <c r="AA13" s="66" t="s">
        <v>25</v>
      </c>
      <c r="AB13" s="85" t="s">
        <v>23</v>
      </c>
      <c r="AC13" s="85" t="s">
        <v>24</v>
      </c>
      <c r="AD13" s="1"/>
      <c r="AF13" s="1"/>
    </row>
    <row r="14" spans="1:32" customFormat="1" ht="17.100000000000001" customHeight="1" thickTop="1" thickBot="1" x14ac:dyDescent="0.3">
      <c r="B14" s="108"/>
      <c r="C14" s="49"/>
      <c r="E14" s="1"/>
      <c r="F14" s="1"/>
      <c r="G14" s="1"/>
      <c r="H14" s="109">
        <v>1.6</v>
      </c>
      <c r="I14" s="110">
        <v>5.42</v>
      </c>
      <c r="J14" s="111">
        <v>15</v>
      </c>
      <c r="K14" s="111">
        <v>2</v>
      </c>
      <c r="L14" s="111">
        <v>37</v>
      </c>
      <c r="M14" s="111">
        <v>44</v>
      </c>
      <c r="N14" s="111">
        <v>0.49000000000000005</v>
      </c>
      <c r="O14" s="112">
        <v>0.85499999999999998</v>
      </c>
      <c r="P14" s="86">
        <f>J14/1000</f>
        <v>1.4999999999999999E-2</v>
      </c>
      <c r="Q14" s="87">
        <f>I14*LOG(M14/P14)/LOG(10/P14)</f>
        <v>6.6549951172249653</v>
      </c>
      <c r="R14" s="88">
        <f>'Weibul (2)'!B2</f>
        <v>11</v>
      </c>
      <c r="S14" s="89">
        <f>'Weibul (2)'!B3</f>
        <v>18</v>
      </c>
      <c r="T14" s="90">
        <f>1.25/2*R14^3*PI()/4*L14^2*N14*O14/1000</f>
        <v>374.72580140486554</v>
      </c>
      <c r="U14" s="90">
        <f>R14*(0.01)^(1/3)</f>
        <v>2.369878159035073</v>
      </c>
      <c r="V14" s="91">
        <f>'Weibul (2)'!L66</f>
        <v>1019.7695314313576</v>
      </c>
      <c r="W14" s="91">
        <f>V14/8.76</f>
        <v>116.41204696704995</v>
      </c>
      <c r="X14" s="91">
        <f>INT(V14/T14*1000)</f>
        <v>2721</v>
      </c>
      <c r="Y14" s="92">
        <f>1/2*1.2*8/9*PI()/4*L14^2/1000*R14^2</f>
        <v>69.386890863266089</v>
      </c>
      <c r="Z14" s="93">
        <v>3</v>
      </c>
      <c r="AA14" s="94">
        <f>1/2*1.2*1.5*Z14/100*PI()*L14^2/4*60^2/1000</f>
        <v>104.51042032917555</v>
      </c>
      <c r="AB14" s="53">
        <f>Y14*M14/(PI()*(M14/40)^2*160)*2</f>
        <v>10.039333333333332</v>
      </c>
      <c r="AC14" s="53">
        <f>AA14*M14/(PI()*(M14/40)^2*160)*2</f>
        <v>15.121227272727266</v>
      </c>
      <c r="AD14" s="1"/>
      <c r="AF14" s="1"/>
    </row>
    <row r="15" spans="1:32" customFormat="1" ht="17.100000000000001" customHeight="1" thickBot="1" x14ac:dyDescent="0.3">
      <c r="B15" s="108"/>
      <c r="C15" s="29"/>
      <c r="E15" s="1"/>
      <c r="F15" s="1"/>
      <c r="G15" s="1"/>
      <c r="H15" s="57"/>
      <c r="I15" s="56"/>
      <c r="J15" s="56"/>
      <c r="K15" s="56"/>
      <c r="L15" s="56"/>
      <c r="M15" s="56"/>
      <c r="N15" s="56"/>
      <c r="O15" s="69"/>
      <c r="P15" s="1"/>
      <c r="Q15" s="71"/>
      <c r="R15" s="95"/>
      <c r="S15" s="95"/>
      <c r="T15" s="96"/>
      <c r="U15" s="96"/>
      <c r="V15" s="97" t="s">
        <v>90</v>
      </c>
      <c r="W15" s="97" t="s">
        <v>95</v>
      </c>
      <c r="X15" s="97" t="s">
        <v>94</v>
      </c>
      <c r="Y15" s="98"/>
      <c r="Z15" s="99"/>
      <c r="AA15" s="100"/>
      <c r="AB15" s="107"/>
      <c r="AC15" s="107"/>
      <c r="AD15" s="1"/>
      <c r="AE15" s="1"/>
      <c r="AF15" s="1"/>
    </row>
    <row r="16" spans="1:32" customFormat="1" ht="17.100000000000001" customHeight="1" thickBot="1" x14ac:dyDescent="0.3">
      <c r="B16" s="116" t="s">
        <v>106</v>
      </c>
      <c r="C16" s="117"/>
      <c r="E16" s="1"/>
      <c r="F16" s="1"/>
      <c r="G16" s="1"/>
      <c r="H16" s="56"/>
      <c r="I16" s="56"/>
      <c r="J16" s="56"/>
      <c r="K16" s="56"/>
      <c r="L16" s="56"/>
      <c r="M16" s="56"/>
      <c r="N16" s="56"/>
      <c r="O16" s="101"/>
      <c r="P16" s="1"/>
      <c r="Q16" s="71"/>
      <c r="R16" s="71"/>
      <c r="S16" s="71"/>
      <c r="T16" s="67"/>
      <c r="U16" s="67"/>
      <c r="V16" s="67"/>
      <c r="W16" s="67"/>
      <c r="X16" s="67"/>
      <c r="Y16" s="53"/>
      <c r="Z16" s="54"/>
      <c r="AA16" s="66"/>
      <c r="AB16" s="53"/>
      <c r="AC16" s="53"/>
      <c r="AD16" s="1"/>
      <c r="AE16" s="1"/>
      <c r="AF16" s="1"/>
    </row>
    <row r="17" spans="2:29" customFormat="1" ht="16.5" customHeight="1" thickBot="1" x14ac:dyDescent="0.3">
      <c r="B17" s="106" t="s">
        <v>105</v>
      </c>
      <c r="C17" s="29"/>
      <c r="H17" s="2"/>
      <c r="I17" s="2"/>
      <c r="J17" s="2"/>
      <c r="K17" s="2"/>
      <c r="L17" s="2"/>
      <c r="M17" s="2"/>
      <c r="N17" s="2"/>
      <c r="O17" s="32"/>
      <c r="Q17" s="15"/>
      <c r="R17" s="15"/>
      <c r="S17" s="15"/>
      <c r="T17" s="16"/>
      <c r="U17" s="16"/>
      <c r="V17" s="16"/>
      <c r="W17" s="16"/>
      <c r="X17" s="16"/>
      <c r="Y17" s="4"/>
      <c r="Z17" s="5"/>
      <c r="AA17" s="17"/>
      <c r="AB17" s="4"/>
      <c r="AC17" s="4"/>
    </row>
    <row r="18" spans="2:29" customFormat="1" ht="17.100000000000001" customHeight="1" x14ac:dyDescent="0.25">
      <c r="B18" s="118" t="s">
        <v>107</v>
      </c>
      <c r="C18" s="30"/>
      <c r="H18" s="2"/>
      <c r="I18" s="2"/>
      <c r="J18" s="2"/>
      <c r="K18" s="2"/>
      <c r="L18" s="2"/>
      <c r="M18" s="2"/>
      <c r="N18" s="2"/>
      <c r="O18" s="32"/>
      <c r="Q18" s="15"/>
      <c r="R18" s="15"/>
      <c r="S18" s="15"/>
      <c r="T18" s="16"/>
      <c r="U18" s="16"/>
      <c r="V18" s="16"/>
      <c r="W18" s="16"/>
      <c r="X18" s="16"/>
      <c r="Y18" s="4"/>
      <c r="Z18" s="5"/>
      <c r="AA18" s="17" t="s">
        <v>104</v>
      </c>
      <c r="AB18" s="4"/>
      <c r="AC18" s="4"/>
    </row>
    <row r="19" spans="2:29" customFormat="1" ht="17.100000000000001" customHeight="1" x14ac:dyDescent="0.25">
      <c r="B19" s="1"/>
      <c r="C19" s="30"/>
      <c r="H19" s="2"/>
      <c r="I19" s="2"/>
      <c r="J19" s="2"/>
      <c r="K19" s="2"/>
      <c r="L19" s="2"/>
      <c r="M19" s="2"/>
      <c r="N19" s="2"/>
      <c r="O19" s="32"/>
      <c r="Q19" s="15"/>
      <c r="R19" s="15"/>
      <c r="S19" s="15"/>
      <c r="T19" s="16"/>
      <c r="U19" s="16"/>
      <c r="V19" s="16"/>
      <c r="W19" s="16"/>
      <c r="X19" s="16"/>
      <c r="Y19" s="4"/>
      <c r="Z19" s="5"/>
      <c r="AA19" s="17"/>
      <c r="AB19" s="4"/>
      <c r="AC19" s="4"/>
    </row>
    <row r="20" spans="2:29" x14ac:dyDescent="0.25"/>
    <row r="21" spans="2:29" x14ac:dyDescent="0.25"/>
    <row r="22" spans="2:29" x14ac:dyDescent="0.25"/>
    <row r="23" spans="2:29" x14ac:dyDescent="0.25"/>
    <row r="24" spans="2:29" x14ac:dyDescent="0.25"/>
    <row r="25" spans="2:29" x14ac:dyDescent="0.25"/>
    <row r="26" spans="2:29" x14ac:dyDescent="0.25"/>
    <row r="27" spans="2:29" x14ac:dyDescent="0.25"/>
    <row r="28" spans="2:29" x14ac:dyDescent="0.25"/>
    <row r="29" spans="2:29" x14ac:dyDescent="0.25"/>
    <row r="30" spans="2:29" x14ac:dyDescent="0.25"/>
    <row r="31" spans="2:29" x14ac:dyDescent="0.25"/>
    <row r="32" spans="2:29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</sheetData>
  <pageMargins left="0.25" right="0.25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68"/>
  <sheetViews>
    <sheetView workbookViewId="0">
      <selection activeCell="J65" sqref="J65"/>
    </sheetView>
  </sheetViews>
  <sheetFormatPr defaultRowHeight="15" x14ac:dyDescent="0.25"/>
  <cols>
    <col min="4" max="4" width="9.42578125" customWidth="1"/>
    <col min="5" max="5" width="7.42578125" customWidth="1"/>
    <col min="6" max="6" width="7.42578125" style="37" customWidth="1"/>
    <col min="7" max="7" width="11.5703125" customWidth="1"/>
    <col min="8" max="8" width="10.28515625" customWidth="1"/>
    <col min="9" max="9" width="8.140625" customWidth="1"/>
    <col min="11" max="11" width="7.5703125" customWidth="1"/>
    <col min="20" max="20" width="35" customWidth="1"/>
    <col min="23" max="23" width="3.85546875" customWidth="1"/>
    <col min="24" max="24" width="2.5703125" customWidth="1"/>
    <col min="25" max="25" width="10.28515625" customWidth="1"/>
    <col min="26" max="26" width="5.7109375" customWidth="1"/>
    <col min="262" max="263" width="7.42578125" customWidth="1"/>
    <col min="518" max="519" width="7.42578125" customWidth="1"/>
    <col min="774" max="775" width="7.42578125" customWidth="1"/>
    <col min="1030" max="1031" width="7.42578125" customWidth="1"/>
    <col min="1286" max="1287" width="7.42578125" customWidth="1"/>
    <col min="1542" max="1543" width="7.42578125" customWidth="1"/>
    <col min="1798" max="1799" width="7.42578125" customWidth="1"/>
    <col min="2054" max="2055" width="7.42578125" customWidth="1"/>
    <col min="2310" max="2311" width="7.42578125" customWidth="1"/>
    <col min="2566" max="2567" width="7.42578125" customWidth="1"/>
    <col min="2822" max="2823" width="7.42578125" customWidth="1"/>
    <col min="3078" max="3079" width="7.42578125" customWidth="1"/>
    <col min="3334" max="3335" width="7.42578125" customWidth="1"/>
    <col min="3590" max="3591" width="7.42578125" customWidth="1"/>
    <col min="3846" max="3847" width="7.42578125" customWidth="1"/>
    <col min="4102" max="4103" width="7.42578125" customWidth="1"/>
    <col min="4358" max="4359" width="7.42578125" customWidth="1"/>
    <col min="4614" max="4615" width="7.42578125" customWidth="1"/>
    <col min="4870" max="4871" width="7.42578125" customWidth="1"/>
    <col min="5126" max="5127" width="7.42578125" customWidth="1"/>
    <col min="5382" max="5383" width="7.42578125" customWidth="1"/>
    <col min="5638" max="5639" width="7.42578125" customWidth="1"/>
    <col min="5894" max="5895" width="7.42578125" customWidth="1"/>
    <col min="6150" max="6151" width="7.42578125" customWidth="1"/>
    <col min="6406" max="6407" width="7.42578125" customWidth="1"/>
    <col min="6662" max="6663" width="7.42578125" customWidth="1"/>
    <col min="6918" max="6919" width="7.42578125" customWidth="1"/>
    <col min="7174" max="7175" width="7.42578125" customWidth="1"/>
    <col min="7430" max="7431" width="7.42578125" customWidth="1"/>
    <col min="7686" max="7687" width="7.42578125" customWidth="1"/>
    <col min="7942" max="7943" width="7.42578125" customWidth="1"/>
    <col min="8198" max="8199" width="7.42578125" customWidth="1"/>
    <col min="8454" max="8455" width="7.42578125" customWidth="1"/>
    <col min="8710" max="8711" width="7.42578125" customWidth="1"/>
    <col min="8966" max="8967" width="7.42578125" customWidth="1"/>
    <col min="9222" max="9223" width="7.42578125" customWidth="1"/>
    <col min="9478" max="9479" width="7.42578125" customWidth="1"/>
    <col min="9734" max="9735" width="7.42578125" customWidth="1"/>
    <col min="9990" max="9991" width="7.42578125" customWidth="1"/>
    <col min="10246" max="10247" width="7.42578125" customWidth="1"/>
    <col min="10502" max="10503" width="7.42578125" customWidth="1"/>
    <col min="10758" max="10759" width="7.42578125" customWidth="1"/>
    <col min="11014" max="11015" width="7.42578125" customWidth="1"/>
    <col min="11270" max="11271" width="7.42578125" customWidth="1"/>
    <col min="11526" max="11527" width="7.42578125" customWidth="1"/>
    <col min="11782" max="11783" width="7.42578125" customWidth="1"/>
    <col min="12038" max="12039" width="7.42578125" customWidth="1"/>
    <col min="12294" max="12295" width="7.42578125" customWidth="1"/>
    <col min="12550" max="12551" width="7.42578125" customWidth="1"/>
    <col min="12806" max="12807" width="7.42578125" customWidth="1"/>
    <col min="13062" max="13063" width="7.42578125" customWidth="1"/>
    <col min="13318" max="13319" width="7.42578125" customWidth="1"/>
    <col min="13574" max="13575" width="7.42578125" customWidth="1"/>
    <col min="13830" max="13831" width="7.42578125" customWidth="1"/>
    <col min="14086" max="14087" width="7.42578125" customWidth="1"/>
    <col min="14342" max="14343" width="7.42578125" customWidth="1"/>
    <col min="14598" max="14599" width="7.42578125" customWidth="1"/>
    <col min="14854" max="14855" width="7.42578125" customWidth="1"/>
    <col min="15110" max="15111" width="7.42578125" customWidth="1"/>
    <col min="15366" max="15367" width="7.42578125" customWidth="1"/>
    <col min="15622" max="15623" width="7.42578125" customWidth="1"/>
    <col min="15878" max="15879" width="7.42578125" customWidth="1"/>
    <col min="16134" max="16135" width="7.42578125" customWidth="1"/>
  </cols>
  <sheetData>
    <row r="2" spans="1:27" x14ac:dyDescent="0.25">
      <c r="A2" t="s">
        <v>35</v>
      </c>
      <c r="B2" s="31">
        <f>J65</f>
        <v>11</v>
      </c>
      <c r="C2" t="s">
        <v>64</v>
      </c>
      <c r="D2" s="27">
        <f>Sheet1!H14</f>
        <v>1.6</v>
      </c>
      <c r="G2" t="s">
        <v>65</v>
      </c>
      <c r="H2" s="28">
        <f>Sheet1!K14</f>
        <v>2</v>
      </c>
      <c r="I2" t="s">
        <v>63</v>
      </c>
      <c r="N2" t="s">
        <v>62</v>
      </c>
      <c r="U2" t="s">
        <v>52</v>
      </c>
    </row>
    <row r="3" spans="1:27" x14ac:dyDescent="0.25">
      <c r="A3" t="s">
        <v>18</v>
      </c>
      <c r="B3" s="12">
        <f>K65</f>
        <v>18</v>
      </c>
      <c r="C3" s="25" t="s">
        <v>61</v>
      </c>
      <c r="D3" s="27">
        <f>Sheet1!Q14</f>
        <v>6.6549951172249653</v>
      </c>
      <c r="E3" t="s">
        <v>60</v>
      </c>
      <c r="F3" s="38">
        <f>(100-H2)/100</f>
        <v>0.98</v>
      </c>
      <c r="I3" t="s">
        <v>59</v>
      </c>
      <c r="N3" t="s">
        <v>58</v>
      </c>
      <c r="U3" t="s">
        <v>47</v>
      </c>
      <c r="V3" s="24">
        <v>10</v>
      </c>
      <c r="W3" t="s">
        <v>46</v>
      </c>
      <c r="Y3" t="s">
        <v>45</v>
      </c>
      <c r="Z3" s="24">
        <v>80</v>
      </c>
      <c r="AA3" t="s">
        <v>8</v>
      </c>
    </row>
    <row r="4" spans="1:27" x14ac:dyDescent="0.25">
      <c r="A4" t="s">
        <v>85</v>
      </c>
      <c r="B4">
        <f>INT(B2*(0.01)^(1/3)*10)/10</f>
        <v>2.2999999999999998</v>
      </c>
      <c r="C4" s="25"/>
      <c r="D4" s="26"/>
      <c r="E4" s="14" t="s">
        <v>57</v>
      </c>
      <c r="F4" s="39" t="s">
        <v>56</v>
      </c>
      <c r="G4" t="s">
        <v>55</v>
      </c>
      <c r="H4" t="s">
        <v>54</v>
      </c>
      <c r="I4" s="25" t="s">
        <v>53</v>
      </c>
      <c r="J4">
        <f>D3*(0.568+0.433/D2)^(-1/D2)</f>
        <v>7.428786260818419</v>
      </c>
      <c r="L4" s="2" t="s">
        <v>88</v>
      </c>
      <c r="M4" t="s">
        <v>96</v>
      </c>
      <c r="U4" t="s">
        <v>44</v>
      </c>
      <c r="V4" s="23">
        <v>50</v>
      </c>
      <c r="W4">
        <f>V4/1000</f>
        <v>0.05</v>
      </c>
      <c r="Y4" t="s">
        <v>43</v>
      </c>
      <c r="Z4">
        <f>LN(Z3/W4)/LN(V3/W4)</f>
        <v>1.3924720619434383</v>
      </c>
    </row>
    <row r="5" spans="1:27" x14ac:dyDescent="0.25">
      <c r="A5" t="s">
        <v>86</v>
      </c>
      <c r="B5">
        <f>Sheet1!L14</f>
        <v>37</v>
      </c>
      <c r="C5" s="2" t="s">
        <v>51</v>
      </c>
      <c r="D5" t="s">
        <v>50</v>
      </c>
      <c r="E5" t="s">
        <v>49</v>
      </c>
      <c r="F5" s="37" t="s">
        <v>49</v>
      </c>
      <c r="G5" t="s">
        <v>48</v>
      </c>
      <c r="H5" t="s">
        <v>48</v>
      </c>
      <c r="J5" t="s">
        <v>35</v>
      </c>
      <c r="L5" t="s">
        <v>84</v>
      </c>
      <c r="M5" t="s">
        <v>48</v>
      </c>
    </row>
    <row r="6" spans="1:27" x14ac:dyDescent="0.25">
      <c r="A6" t="s">
        <v>87</v>
      </c>
      <c r="B6" s="43">
        <f>Sheet1!N14*Sheet1!O14</f>
        <v>0.41895000000000004</v>
      </c>
      <c r="C6">
        <v>1</v>
      </c>
      <c r="D6" s="22">
        <f t="shared" ref="D6:D37" si="0">D$2/J$4*(C6/J$4)^(D$2-1)/EXP((C6/J$4)^D$2)</f>
        <v>6.2101178424699532E-2</v>
      </c>
      <c r="E6">
        <f t="shared" ref="E6:E37" si="1">D6*8760</f>
        <v>544.00632300036796</v>
      </c>
      <c r="F6" s="40">
        <f t="shared" ref="F6:F37" si="2">D6*8760*$F$3</f>
        <v>533.12619654036064</v>
      </c>
      <c r="G6" s="15">
        <f t="shared" ref="G6:G37" si="3">0.62*C6^3*E6/1000</f>
        <v>0.33728392026022813</v>
      </c>
      <c r="H6" s="17">
        <f>G6</f>
        <v>0.33728392026022813</v>
      </c>
      <c r="I6" s="4">
        <f>IF(H6&lt;$G$67,H6,I5)</f>
        <v>0.33728392026022813</v>
      </c>
      <c r="J6" s="4"/>
      <c r="L6" s="44">
        <f>IF(C6&gt;$B$4,G6*$B$5*$B$6,0)</f>
        <v>0</v>
      </c>
      <c r="M6" s="5">
        <f>L6/($B$5^2*PI()/4)</f>
        <v>0</v>
      </c>
    </row>
    <row r="7" spans="1:27" x14ac:dyDescent="0.25">
      <c r="A7" t="s">
        <v>19</v>
      </c>
      <c r="B7" s="15">
        <f>0.62*$B$2^3*B5^2*PI()/4*B6/1000</f>
        <v>371.72799499362668</v>
      </c>
      <c r="C7">
        <f t="shared" ref="C7:C38" si="4">C6+1</f>
        <v>2</v>
      </c>
      <c r="D7" s="22">
        <f t="shared" si="0"/>
        <v>8.6708768410348275E-2</v>
      </c>
      <c r="E7">
        <f t="shared" si="1"/>
        <v>759.5688112746509</v>
      </c>
      <c r="F7" s="40">
        <f t="shared" si="2"/>
        <v>744.37743504915784</v>
      </c>
      <c r="G7" s="15">
        <f t="shared" si="3"/>
        <v>3.7674613039222686</v>
      </c>
      <c r="H7" s="17">
        <f t="shared" ref="H7:H38" si="5">H6+G7</f>
        <v>4.1047452241824969</v>
      </c>
      <c r="I7" s="4">
        <f t="shared" ref="I7:I38" si="6">IF(H6&gt;$G$67,I6,H7)</f>
        <v>4.1047452241824969</v>
      </c>
      <c r="J7" s="4">
        <f t="shared" ref="J7:J38" si="7">IF(I6&gt;$G$67,J6,C7)</f>
        <v>2</v>
      </c>
      <c r="K7">
        <f t="shared" ref="K7:K38" si="8">IF(H6&gt;$G$68,K6,C7)</f>
        <v>2</v>
      </c>
      <c r="L7" s="44">
        <f t="shared" ref="L7:L14" si="9">IF(C7&gt;$B$4,IF(C7&gt;$B$3,0,IF(C7&gt;$B$2,$B$7*F7,G7*$B$5^2*PI()/4*$B$6)),0)</f>
        <v>0</v>
      </c>
      <c r="M7" s="5">
        <f t="shared" ref="M7:M65" si="10">L7/($B$5^2*PI()/4)</f>
        <v>0</v>
      </c>
      <c r="U7" t="s">
        <v>42</v>
      </c>
    </row>
    <row r="8" spans="1:27" x14ac:dyDescent="0.25">
      <c r="A8" t="s">
        <v>19</v>
      </c>
      <c r="B8" s="23">
        <f>Sheet1!T14</f>
        <v>374.72580140486554</v>
      </c>
      <c r="C8">
        <f t="shared" si="4"/>
        <v>3</v>
      </c>
      <c r="D8" s="22">
        <f t="shared" si="0"/>
        <v>9.8885604058649171E-2</v>
      </c>
      <c r="E8">
        <f t="shared" si="1"/>
        <v>866.23789155376676</v>
      </c>
      <c r="F8" s="40">
        <f t="shared" si="2"/>
        <v>848.91313372269144</v>
      </c>
      <c r="G8" s="15">
        <f t="shared" si="3"/>
        <v>14.500822304610054</v>
      </c>
      <c r="H8" s="17">
        <f t="shared" si="5"/>
        <v>18.605567528792552</v>
      </c>
      <c r="I8" s="4">
        <f t="shared" si="6"/>
        <v>18.605567528792552</v>
      </c>
      <c r="J8" s="4">
        <f t="shared" si="7"/>
        <v>3</v>
      </c>
      <c r="K8">
        <f t="shared" si="8"/>
        <v>3</v>
      </c>
      <c r="L8" s="44">
        <f t="shared" si="9"/>
        <v>6532.0297630347732</v>
      </c>
      <c r="M8" s="5">
        <f t="shared" si="10"/>
        <v>6.0751195045163824</v>
      </c>
    </row>
    <row r="9" spans="1:27" x14ac:dyDescent="0.25">
      <c r="C9">
        <f t="shared" si="4"/>
        <v>4</v>
      </c>
      <c r="D9" s="22">
        <f t="shared" si="0"/>
        <v>0.10246978122213944</v>
      </c>
      <c r="E9">
        <f t="shared" si="1"/>
        <v>897.63528350594152</v>
      </c>
      <c r="F9" s="40">
        <f t="shared" si="2"/>
        <v>879.68257783582271</v>
      </c>
      <c r="G9" s="15">
        <f t="shared" si="3"/>
        <v>35.618168049515759</v>
      </c>
      <c r="H9" s="17">
        <f t="shared" si="5"/>
        <v>54.223735578308307</v>
      </c>
      <c r="I9" s="4">
        <f t="shared" si="6"/>
        <v>54.223735578308307</v>
      </c>
      <c r="J9" s="4">
        <f t="shared" si="7"/>
        <v>4</v>
      </c>
      <c r="K9">
        <f t="shared" si="8"/>
        <v>4</v>
      </c>
      <c r="L9" s="44">
        <f t="shared" si="9"/>
        <v>16044.533814488919</v>
      </c>
      <c r="M9" s="5">
        <f t="shared" si="10"/>
        <v>14.922231504344627</v>
      </c>
    </row>
    <row r="10" spans="1:27" x14ac:dyDescent="0.25">
      <c r="C10">
        <f t="shared" si="4"/>
        <v>5</v>
      </c>
      <c r="D10" s="22">
        <f t="shared" si="0"/>
        <v>9.9893009785286729E-2</v>
      </c>
      <c r="E10">
        <f t="shared" si="1"/>
        <v>875.06276571911178</v>
      </c>
      <c r="F10" s="40">
        <f t="shared" si="2"/>
        <v>857.56151040472957</v>
      </c>
      <c r="G10" s="15">
        <f t="shared" si="3"/>
        <v>67.817364343231162</v>
      </c>
      <c r="H10" s="17">
        <f t="shared" si="5"/>
        <v>122.04109992153947</v>
      </c>
      <c r="I10" s="4">
        <f t="shared" si="6"/>
        <v>122.04109992153947</v>
      </c>
      <c r="J10" s="4">
        <f t="shared" si="7"/>
        <v>5</v>
      </c>
      <c r="K10">
        <f t="shared" si="8"/>
        <v>5</v>
      </c>
      <c r="L10" s="44">
        <f t="shared" si="9"/>
        <v>30548.960123435674</v>
      </c>
      <c r="M10" s="5">
        <f t="shared" si="10"/>
        <v>28.412084791596694</v>
      </c>
    </row>
    <row r="11" spans="1:27" x14ac:dyDescent="0.25">
      <c r="C11">
        <f t="shared" si="4"/>
        <v>6</v>
      </c>
      <c r="D11" s="22">
        <f t="shared" si="0"/>
        <v>9.3104203315931527E-2</v>
      </c>
      <c r="E11">
        <f t="shared" si="1"/>
        <v>815.59282104756016</v>
      </c>
      <c r="F11" s="40">
        <f t="shared" si="2"/>
        <v>799.28096462660892</v>
      </c>
      <c r="G11" s="15">
        <f t="shared" si="3"/>
        <v>109.22419059468925</v>
      </c>
      <c r="H11" s="17">
        <f t="shared" si="5"/>
        <v>231.26529051622873</v>
      </c>
      <c r="I11" s="4">
        <f t="shared" si="6"/>
        <v>231.26529051622873</v>
      </c>
      <c r="J11" s="4">
        <f t="shared" si="7"/>
        <v>6</v>
      </c>
      <c r="K11">
        <f t="shared" si="8"/>
        <v>6</v>
      </c>
      <c r="L11" s="44">
        <f t="shared" si="9"/>
        <v>49201.048659224893</v>
      </c>
      <c r="M11" s="5">
        <f t="shared" si="10"/>
        <v>45.759474649645057</v>
      </c>
    </row>
    <row r="12" spans="1:27" x14ac:dyDescent="0.25">
      <c r="C12">
        <f t="shared" si="4"/>
        <v>7</v>
      </c>
      <c r="D12" s="22">
        <f t="shared" si="0"/>
        <v>8.371888700366284E-2</v>
      </c>
      <c r="E12">
        <f t="shared" si="1"/>
        <v>733.37745015208645</v>
      </c>
      <c r="F12" s="40">
        <f t="shared" si="2"/>
        <v>718.70990114904475</v>
      </c>
      <c r="G12" s="15">
        <f t="shared" si="3"/>
        <v>155.9600485493427</v>
      </c>
      <c r="H12" s="17">
        <f t="shared" si="5"/>
        <v>387.22533906557146</v>
      </c>
      <c r="I12" s="4">
        <f t="shared" si="6"/>
        <v>387.22533906557146</v>
      </c>
      <c r="J12" s="4">
        <f t="shared" si="7"/>
        <v>7</v>
      </c>
      <c r="K12">
        <f t="shared" si="8"/>
        <v>7</v>
      </c>
      <c r="L12" s="44">
        <f t="shared" si="9"/>
        <v>70253.648901330351</v>
      </c>
      <c r="M12" s="5">
        <f t="shared" si="10"/>
        <v>65.339462339747129</v>
      </c>
    </row>
    <row r="13" spans="1:27" x14ac:dyDescent="0.25">
      <c r="C13">
        <f t="shared" si="4"/>
        <v>8</v>
      </c>
      <c r="D13" s="22">
        <f t="shared" si="0"/>
        <v>7.3039994436216879E-2</v>
      </c>
      <c r="E13">
        <f t="shared" si="1"/>
        <v>639.83035126125981</v>
      </c>
      <c r="F13" s="40">
        <f t="shared" si="2"/>
        <v>627.03374423603464</v>
      </c>
      <c r="G13" s="15">
        <f t="shared" si="3"/>
        <v>203.10774670437434</v>
      </c>
      <c r="H13" s="17">
        <f t="shared" si="5"/>
        <v>590.3330857699458</v>
      </c>
      <c r="I13" s="4">
        <f t="shared" si="6"/>
        <v>590.3330857699458</v>
      </c>
      <c r="J13" s="4">
        <f t="shared" si="7"/>
        <v>8</v>
      </c>
      <c r="K13">
        <f t="shared" si="8"/>
        <v>8</v>
      </c>
      <c r="L13" s="44">
        <f t="shared" si="9"/>
        <v>91491.766377560474</v>
      </c>
      <c r="M13" s="5">
        <f t="shared" si="10"/>
        <v>85.091990481797637</v>
      </c>
    </row>
    <row r="14" spans="1:27" x14ac:dyDescent="0.25">
      <c r="C14">
        <f t="shared" si="4"/>
        <v>9</v>
      </c>
      <c r="D14" s="22">
        <f t="shared" si="0"/>
        <v>6.2066152121401236E-2</v>
      </c>
      <c r="E14">
        <f t="shared" si="1"/>
        <v>543.69949258347481</v>
      </c>
      <c r="F14" s="40">
        <f t="shared" si="2"/>
        <v>532.82550273180527</v>
      </c>
      <c r="G14" s="15">
        <f t="shared" si="3"/>
        <v>245.74129665787896</v>
      </c>
      <c r="H14" s="17">
        <f t="shared" si="5"/>
        <v>836.07438242782473</v>
      </c>
      <c r="I14" s="4">
        <f t="shared" si="6"/>
        <v>836.07438242782473</v>
      </c>
      <c r="J14" s="4">
        <f t="shared" si="7"/>
        <v>9</v>
      </c>
      <c r="K14">
        <f t="shared" si="8"/>
        <v>9</v>
      </c>
      <c r="L14" s="44">
        <f t="shared" si="9"/>
        <v>110696.44397102272</v>
      </c>
      <c r="M14" s="5">
        <f t="shared" si="10"/>
        <v>102.95331623481842</v>
      </c>
    </row>
    <row r="15" spans="1:27" x14ac:dyDescent="0.25">
      <c r="C15">
        <f t="shared" si="4"/>
        <v>10</v>
      </c>
      <c r="D15" s="22">
        <f t="shared" si="0"/>
        <v>5.1512330787736767E-2</v>
      </c>
      <c r="E15">
        <f t="shared" si="1"/>
        <v>451.24801770057405</v>
      </c>
      <c r="F15" s="40">
        <f t="shared" si="2"/>
        <v>442.22305734656254</v>
      </c>
      <c r="G15" s="15">
        <f t="shared" si="3"/>
        <v>279.7737709743559</v>
      </c>
      <c r="H15" s="17">
        <f t="shared" si="5"/>
        <v>1115.8481534021807</v>
      </c>
      <c r="I15" s="4">
        <f t="shared" si="6"/>
        <v>1115.8481534021807</v>
      </c>
      <c r="J15" s="4">
        <f t="shared" si="7"/>
        <v>10</v>
      </c>
      <c r="K15">
        <f t="shared" si="8"/>
        <v>10</v>
      </c>
      <c r="L15" s="44">
        <f>IF(C15&gt;$B$4,IF(C15&gt;$B$3,0,IF(C15&gt;$B$2,$B$7*F15,G15*$B$5^2*PI()/4*$B$6)),0)</f>
        <v>126026.68735137711</v>
      </c>
      <c r="M15" s="5">
        <f t="shared" si="10"/>
        <v>117.21122134970641</v>
      </c>
    </row>
    <row r="16" spans="1:27" x14ac:dyDescent="0.25">
      <c r="C16">
        <f t="shared" si="4"/>
        <v>11</v>
      </c>
      <c r="D16" s="22">
        <f t="shared" si="0"/>
        <v>4.1844429607818798E-2</v>
      </c>
      <c r="E16">
        <f t="shared" si="1"/>
        <v>366.55720336449269</v>
      </c>
      <c r="F16" s="40">
        <f t="shared" si="2"/>
        <v>359.22605929720282</v>
      </c>
      <c r="G16" s="15">
        <f t="shared" si="3"/>
        <v>302.49033536044664</v>
      </c>
      <c r="H16" s="17">
        <f t="shared" si="5"/>
        <v>1418.3384887626273</v>
      </c>
      <c r="I16" s="4">
        <f t="shared" si="6"/>
        <v>1418.3384887626273</v>
      </c>
      <c r="J16" s="4">
        <f t="shared" si="7"/>
        <v>11</v>
      </c>
      <c r="K16">
        <f t="shared" si="8"/>
        <v>11</v>
      </c>
      <c r="L16" s="44">
        <f t="shared" ref="L16:L65" si="11">IF(C16&gt;$B$4,IF(C16&gt;$B$3,0,IF(C16&gt;$B$2,$B$7*F16,G16*$B$5^2*PI()/4*$B$6)),0)</f>
        <v>136259.5742571539</v>
      </c>
      <c r="M16" s="5">
        <f t="shared" si="10"/>
        <v>126.72832599925911</v>
      </c>
    </row>
    <row r="17" spans="3:13" x14ac:dyDescent="0.25">
      <c r="C17">
        <f t="shared" si="4"/>
        <v>12</v>
      </c>
      <c r="D17" s="22">
        <f t="shared" si="0"/>
        <v>3.3322850633952301E-2</v>
      </c>
      <c r="E17">
        <f t="shared" si="1"/>
        <v>291.90817155342216</v>
      </c>
      <c r="F17" s="40">
        <f t="shared" si="2"/>
        <v>286.07000812235373</v>
      </c>
      <c r="G17" s="15">
        <f t="shared" si="3"/>
        <v>312.73873867547434</v>
      </c>
      <c r="H17" s="17">
        <f t="shared" si="5"/>
        <v>1731.0772274381015</v>
      </c>
      <c r="I17" s="4">
        <f t="shared" si="6"/>
        <v>1418.3384887626273</v>
      </c>
      <c r="J17" s="4">
        <f t="shared" si="7"/>
        <v>11</v>
      </c>
      <c r="K17">
        <f t="shared" si="8"/>
        <v>12</v>
      </c>
      <c r="L17" s="44">
        <f t="shared" si="11"/>
        <v>106340.23054713305</v>
      </c>
      <c r="M17" s="5">
        <f t="shared" si="10"/>
        <v>98.901816456438212</v>
      </c>
    </row>
    <row r="18" spans="3:13" x14ac:dyDescent="0.25">
      <c r="C18">
        <f t="shared" si="4"/>
        <v>13</v>
      </c>
      <c r="D18" s="22">
        <f t="shared" si="0"/>
        <v>2.6049094007051431E-2</v>
      </c>
      <c r="E18">
        <f t="shared" si="1"/>
        <v>228.19006350177054</v>
      </c>
      <c r="F18" s="40">
        <f t="shared" si="2"/>
        <v>223.62626223173513</v>
      </c>
      <c r="G18" s="15">
        <f t="shared" si="3"/>
        <v>310.82681309830178</v>
      </c>
      <c r="H18" s="17">
        <f t="shared" si="5"/>
        <v>2041.9040405364033</v>
      </c>
      <c r="I18" s="4">
        <f t="shared" si="6"/>
        <v>1418.3384887626273</v>
      </c>
      <c r="J18" s="4">
        <f t="shared" si="7"/>
        <v>11</v>
      </c>
      <c r="K18">
        <f t="shared" si="8"/>
        <v>13</v>
      </c>
      <c r="L18" s="44">
        <f t="shared" si="11"/>
        <v>83128.142087321889</v>
      </c>
      <c r="M18" s="5">
        <f t="shared" si="10"/>
        <v>77.313395022601625</v>
      </c>
    </row>
    <row r="19" spans="3:13" x14ac:dyDescent="0.25">
      <c r="C19">
        <f t="shared" si="4"/>
        <v>14</v>
      </c>
      <c r="D19" s="22">
        <f t="shared" si="0"/>
        <v>2.0010380890997007E-2</v>
      </c>
      <c r="E19">
        <f t="shared" si="1"/>
        <v>175.29093660513377</v>
      </c>
      <c r="F19" s="40">
        <f t="shared" si="2"/>
        <v>171.78511787303108</v>
      </c>
      <c r="G19" s="15">
        <f t="shared" si="3"/>
        <v>298.21896462758195</v>
      </c>
      <c r="H19" s="17">
        <f t="shared" si="5"/>
        <v>2340.123005163985</v>
      </c>
      <c r="I19" s="4">
        <f t="shared" si="6"/>
        <v>1418.3384887626273</v>
      </c>
      <c r="J19" s="4">
        <f t="shared" si="7"/>
        <v>11</v>
      </c>
      <c r="K19">
        <f t="shared" si="8"/>
        <v>14</v>
      </c>
      <c r="L19" s="44">
        <f t="shared" si="11"/>
        <v>63857.337436685666</v>
      </c>
      <c r="M19" s="5">
        <f t="shared" si="10"/>
        <v>59.390567747177002</v>
      </c>
    </row>
    <row r="20" spans="3:13" x14ac:dyDescent="0.25">
      <c r="C20">
        <f t="shared" si="4"/>
        <v>15</v>
      </c>
      <c r="D20" s="22">
        <f t="shared" si="0"/>
        <v>1.5118914105496185E-2</v>
      </c>
      <c r="E20">
        <f t="shared" si="1"/>
        <v>132.44168756414658</v>
      </c>
      <c r="F20" s="40">
        <f t="shared" si="2"/>
        <v>129.79285381286365</v>
      </c>
      <c r="G20" s="15">
        <f t="shared" si="3"/>
        <v>277.13423122797673</v>
      </c>
      <c r="H20" s="17">
        <f t="shared" si="5"/>
        <v>2617.2572363919617</v>
      </c>
      <c r="I20" s="4">
        <f t="shared" si="6"/>
        <v>1418.3384887626273</v>
      </c>
      <c r="J20" s="4">
        <f t="shared" si="7"/>
        <v>11</v>
      </c>
      <c r="K20">
        <f t="shared" si="8"/>
        <v>15</v>
      </c>
      <c r="L20" s="44">
        <f t="shared" si="11"/>
        <v>48247.637312356703</v>
      </c>
      <c r="M20" s="5">
        <f t="shared" si="10"/>
        <v>44.872753664084946</v>
      </c>
    </row>
    <row r="21" spans="3:13" x14ac:dyDescent="0.25">
      <c r="C21">
        <f t="shared" si="4"/>
        <v>16</v>
      </c>
      <c r="D21" s="22">
        <f t="shared" si="0"/>
        <v>1.1243987170114107E-2</v>
      </c>
      <c r="E21">
        <f t="shared" si="1"/>
        <v>98.497327610199576</v>
      </c>
      <c r="F21" s="40">
        <f t="shared" si="2"/>
        <v>96.527381057995584</v>
      </c>
      <c r="G21" s="15">
        <f t="shared" si="3"/>
        <v>250.13593341265403</v>
      </c>
      <c r="H21" s="17">
        <f t="shared" si="5"/>
        <v>2867.3931698046158</v>
      </c>
      <c r="I21" s="4">
        <f t="shared" si="6"/>
        <v>1418.3384887626273</v>
      </c>
      <c r="J21" s="4">
        <f t="shared" si="7"/>
        <v>11</v>
      </c>
      <c r="K21">
        <f t="shared" si="8"/>
        <v>16</v>
      </c>
      <c r="L21" s="44">
        <f t="shared" si="11"/>
        <v>35881.92982267448</v>
      </c>
      <c r="M21" s="5">
        <f t="shared" si="10"/>
        <v>33.37201752493872</v>
      </c>
    </row>
    <row r="22" spans="3:13" x14ac:dyDescent="0.25">
      <c r="C22">
        <f t="shared" si="4"/>
        <v>17</v>
      </c>
      <c r="D22" s="22">
        <f t="shared" si="0"/>
        <v>8.2364665006096887E-3</v>
      </c>
      <c r="E22">
        <f t="shared" si="1"/>
        <v>72.151446545340875</v>
      </c>
      <c r="F22" s="40">
        <f t="shared" si="2"/>
        <v>70.708417614434055</v>
      </c>
      <c r="G22" s="15">
        <f t="shared" si="3"/>
        <v>219.77763526390103</v>
      </c>
      <c r="H22" s="17">
        <f t="shared" si="5"/>
        <v>3087.170805068517</v>
      </c>
      <c r="I22" s="4">
        <f t="shared" si="6"/>
        <v>1418.3384887626273</v>
      </c>
      <c r="J22" s="4">
        <f t="shared" si="7"/>
        <v>11</v>
      </c>
      <c r="K22">
        <f t="shared" si="8"/>
        <v>17</v>
      </c>
      <c r="L22" s="44">
        <f t="shared" si="11"/>
        <v>26284.298308985606</v>
      </c>
      <c r="M22" s="5">
        <f t="shared" si="10"/>
        <v>24.445732660786003</v>
      </c>
    </row>
    <row r="23" spans="3:13" x14ac:dyDescent="0.25">
      <c r="C23">
        <f t="shared" si="4"/>
        <v>18</v>
      </c>
      <c r="D23" s="22">
        <f t="shared" si="0"/>
        <v>5.9461018784505706E-3</v>
      </c>
      <c r="E23">
        <f t="shared" si="1"/>
        <v>52.087852455227001</v>
      </c>
      <c r="F23" s="40">
        <f t="shared" si="2"/>
        <v>51.046095406122461</v>
      </c>
      <c r="G23" s="15">
        <f t="shared" si="3"/>
        <v>188.341340421708</v>
      </c>
      <c r="H23" s="17">
        <f t="shared" si="5"/>
        <v>3275.5121454902251</v>
      </c>
      <c r="I23" s="4">
        <f t="shared" si="6"/>
        <v>1418.3384887626273</v>
      </c>
      <c r="J23" s="4">
        <f t="shared" si="7"/>
        <v>11</v>
      </c>
      <c r="K23">
        <f t="shared" si="8"/>
        <v>18</v>
      </c>
      <c r="L23" s="44">
        <f t="shared" si="11"/>
        <v>18975.262697571281</v>
      </c>
      <c r="M23" s="5">
        <f t="shared" si="10"/>
        <v>17.64795824564337</v>
      </c>
    </row>
    <row r="24" spans="3:13" x14ac:dyDescent="0.25">
      <c r="C24">
        <f t="shared" si="4"/>
        <v>19</v>
      </c>
      <c r="D24" s="22">
        <f t="shared" si="0"/>
        <v>4.2326760580634355E-3</v>
      </c>
      <c r="E24">
        <f t="shared" si="1"/>
        <v>37.078242268635698</v>
      </c>
      <c r="F24" s="40">
        <f t="shared" si="2"/>
        <v>36.336677423262984</v>
      </c>
      <c r="G24" s="15">
        <f t="shared" si="3"/>
        <v>157.67819150675479</v>
      </c>
      <c r="H24" s="17">
        <f t="shared" si="5"/>
        <v>3433.19033699698</v>
      </c>
      <c r="I24" s="4">
        <f t="shared" si="6"/>
        <v>1418.3384887626273</v>
      </c>
      <c r="J24" s="4">
        <f t="shared" si="7"/>
        <v>11</v>
      </c>
      <c r="K24">
        <f t="shared" si="8"/>
        <v>18</v>
      </c>
      <c r="L24" s="44">
        <f t="shared" si="11"/>
        <v>0</v>
      </c>
      <c r="M24" s="5">
        <f t="shared" si="10"/>
        <v>0</v>
      </c>
    </row>
    <row r="25" spans="3:13" x14ac:dyDescent="0.25">
      <c r="C25">
        <f t="shared" si="4"/>
        <v>20</v>
      </c>
      <c r="D25" s="22">
        <f t="shared" si="0"/>
        <v>2.9722490927338533E-3</v>
      </c>
      <c r="E25">
        <f t="shared" si="1"/>
        <v>26.036902052348555</v>
      </c>
      <c r="F25" s="40">
        <f t="shared" si="2"/>
        <v>25.516164011301584</v>
      </c>
      <c r="G25" s="15">
        <f t="shared" si="3"/>
        <v>129.14303417964882</v>
      </c>
      <c r="H25" s="17">
        <f t="shared" si="5"/>
        <v>3562.333371176629</v>
      </c>
      <c r="I25" s="4">
        <f t="shared" si="6"/>
        <v>1418.3384887626273</v>
      </c>
      <c r="J25" s="4">
        <f t="shared" si="7"/>
        <v>11</v>
      </c>
      <c r="K25">
        <f t="shared" si="8"/>
        <v>18</v>
      </c>
      <c r="L25" s="44">
        <f t="shared" si="11"/>
        <v>0</v>
      </c>
      <c r="M25" s="5">
        <f t="shared" si="10"/>
        <v>0</v>
      </c>
    </row>
    <row r="26" spans="3:13" x14ac:dyDescent="0.25">
      <c r="C26">
        <f t="shared" si="4"/>
        <v>21</v>
      </c>
      <c r="D26" s="22">
        <f t="shared" si="0"/>
        <v>2.0597707269312962E-3</v>
      </c>
      <c r="E26">
        <f t="shared" si="1"/>
        <v>18.043591567918156</v>
      </c>
      <c r="F26" s="40">
        <f t="shared" si="2"/>
        <v>17.682719736559793</v>
      </c>
      <c r="G26" s="15">
        <f t="shared" si="3"/>
        <v>103.60305493650381</v>
      </c>
      <c r="H26" s="17">
        <f t="shared" si="5"/>
        <v>3665.9364261131327</v>
      </c>
      <c r="I26" s="4">
        <f t="shared" si="6"/>
        <v>1418.3384887626273</v>
      </c>
      <c r="J26" s="4">
        <f t="shared" si="7"/>
        <v>11</v>
      </c>
      <c r="K26">
        <f t="shared" si="8"/>
        <v>18</v>
      </c>
      <c r="L26" s="44">
        <f t="shared" si="11"/>
        <v>0</v>
      </c>
      <c r="M26" s="5">
        <f t="shared" si="10"/>
        <v>0</v>
      </c>
    </row>
    <row r="27" spans="3:13" x14ac:dyDescent="0.25">
      <c r="C27">
        <f t="shared" si="4"/>
        <v>22</v>
      </c>
      <c r="D27" s="22">
        <f t="shared" si="0"/>
        <v>1.4092079787230984E-3</v>
      </c>
      <c r="E27">
        <f t="shared" si="1"/>
        <v>12.344661893614342</v>
      </c>
      <c r="F27" s="40">
        <f t="shared" si="2"/>
        <v>12.097768655742055</v>
      </c>
      <c r="G27" s="15">
        <f t="shared" si="3"/>
        <v>81.496495102787421</v>
      </c>
      <c r="H27" s="17">
        <f t="shared" si="5"/>
        <v>3747.43292121592</v>
      </c>
      <c r="I27" s="4">
        <f t="shared" si="6"/>
        <v>1418.3384887626273</v>
      </c>
      <c r="J27" s="4">
        <f t="shared" si="7"/>
        <v>11</v>
      </c>
      <c r="K27">
        <f t="shared" si="8"/>
        <v>18</v>
      </c>
      <c r="L27" s="44">
        <f t="shared" si="11"/>
        <v>0</v>
      </c>
      <c r="M27" s="5">
        <f t="shared" si="10"/>
        <v>0</v>
      </c>
    </row>
    <row r="28" spans="3:13" x14ac:dyDescent="0.25">
      <c r="C28">
        <f t="shared" si="4"/>
        <v>23</v>
      </c>
      <c r="D28" s="22">
        <f t="shared" si="0"/>
        <v>9.5213474516494102E-4</v>
      </c>
      <c r="E28">
        <f t="shared" si="1"/>
        <v>8.3407003676448834</v>
      </c>
      <c r="F28" s="40">
        <f t="shared" si="2"/>
        <v>8.173886360291986</v>
      </c>
      <c r="G28" s="15">
        <f t="shared" si="3"/>
        <v>62.918406851343882</v>
      </c>
      <c r="H28" s="17">
        <f t="shared" si="5"/>
        <v>3810.3513280672637</v>
      </c>
      <c r="I28" s="4">
        <f t="shared" si="6"/>
        <v>1418.3384887626273</v>
      </c>
      <c r="J28" s="4">
        <f t="shared" si="7"/>
        <v>11</v>
      </c>
      <c r="K28">
        <f t="shared" si="8"/>
        <v>18</v>
      </c>
      <c r="L28" s="44">
        <f t="shared" si="11"/>
        <v>0</v>
      </c>
      <c r="M28" s="5">
        <f t="shared" si="10"/>
        <v>0</v>
      </c>
    </row>
    <row r="29" spans="3:13" x14ac:dyDescent="0.25">
      <c r="C29">
        <f t="shared" si="4"/>
        <v>24</v>
      </c>
      <c r="D29" s="22">
        <f t="shared" si="0"/>
        <v>6.3550799655590767E-4</v>
      </c>
      <c r="E29">
        <f t="shared" si="1"/>
        <v>5.567050049829751</v>
      </c>
      <c r="F29" s="40">
        <f t="shared" si="2"/>
        <v>5.4557090488331559</v>
      </c>
      <c r="G29" s="15">
        <f t="shared" si="3"/>
        <v>47.714517931084814</v>
      </c>
      <c r="H29" s="17">
        <f t="shared" si="5"/>
        <v>3858.0658459983483</v>
      </c>
      <c r="I29" s="4">
        <f t="shared" si="6"/>
        <v>1418.3384887626273</v>
      </c>
      <c r="J29" s="4">
        <f t="shared" si="7"/>
        <v>11</v>
      </c>
      <c r="K29">
        <f t="shared" si="8"/>
        <v>18</v>
      </c>
      <c r="L29" s="44">
        <f t="shared" si="11"/>
        <v>0</v>
      </c>
      <c r="M29" s="5">
        <f t="shared" si="10"/>
        <v>0</v>
      </c>
    </row>
    <row r="30" spans="3:13" x14ac:dyDescent="0.25">
      <c r="C30">
        <f t="shared" si="4"/>
        <v>25</v>
      </c>
      <c r="D30" s="22">
        <f t="shared" si="0"/>
        <v>4.1914507165830326E-4</v>
      </c>
      <c r="E30">
        <f t="shared" si="1"/>
        <v>3.6717108277267365</v>
      </c>
      <c r="F30" s="40">
        <f t="shared" si="2"/>
        <v>3.5982766111722015</v>
      </c>
      <c r="G30" s="15">
        <f t="shared" si="3"/>
        <v>35.569698643602756</v>
      </c>
      <c r="H30" s="17">
        <f t="shared" si="5"/>
        <v>3893.6355446419511</v>
      </c>
      <c r="I30" s="4">
        <f t="shared" si="6"/>
        <v>1418.3384887626273</v>
      </c>
      <c r="J30" s="4">
        <f t="shared" si="7"/>
        <v>11</v>
      </c>
      <c r="K30">
        <f t="shared" si="8"/>
        <v>18</v>
      </c>
      <c r="L30" s="44">
        <f t="shared" si="11"/>
        <v>0</v>
      </c>
      <c r="M30" s="5">
        <f t="shared" si="10"/>
        <v>0</v>
      </c>
    </row>
    <row r="31" spans="3:13" x14ac:dyDescent="0.25">
      <c r="C31">
        <f t="shared" si="4"/>
        <v>26</v>
      </c>
      <c r="D31" s="22">
        <f t="shared" si="0"/>
        <v>2.73237657972655E-4</v>
      </c>
      <c r="E31">
        <f t="shared" si="1"/>
        <v>2.3935618838404578</v>
      </c>
      <c r="F31" s="40">
        <f t="shared" si="2"/>
        <v>2.3456906461636486</v>
      </c>
      <c r="G31" s="15">
        <f t="shared" si="3"/>
        <v>26.082931075635528</v>
      </c>
      <c r="H31" s="17">
        <f t="shared" si="5"/>
        <v>3919.7184757175864</v>
      </c>
      <c r="I31" s="4">
        <f t="shared" si="6"/>
        <v>1418.3384887626273</v>
      </c>
      <c r="J31" s="4">
        <f t="shared" si="7"/>
        <v>11</v>
      </c>
      <c r="K31">
        <f t="shared" si="8"/>
        <v>18</v>
      </c>
      <c r="L31" s="44">
        <f t="shared" si="11"/>
        <v>0</v>
      </c>
      <c r="M31" s="5">
        <f t="shared" si="10"/>
        <v>0</v>
      </c>
    </row>
    <row r="32" spans="3:13" x14ac:dyDescent="0.25">
      <c r="C32">
        <f t="shared" si="4"/>
        <v>27</v>
      </c>
      <c r="D32" s="22">
        <f t="shared" si="0"/>
        <v>1.7609762477201684E-4</v>
      </c>
      <c r="E32">
        <f t="shared" si="1"/>
        <v>1.5426151930028675</v>
      </c>
      <c r="F32" s="40">
        <f t="shared" si="2"/>
        <v>1.5117628891428101</v>
      </c>
      <c r="G32" s="15">
        <f t="shared" si="3"/>
        <v>18.825242803202769</v>
      </c>
      <c r="H32" s="17">
        <f t="shared" si="5"/>
        <v>3938.5437185207893</v>
      </c>
      <c r="I32" s="4">
        <f t="shared" si="6"/>
        <v>1418.3384887626273</v>
      </c>
      <c r="J32" s="4">
        <f t="shared" si="7"/>
        <v>11</v>
      </c>
      <c r="K32">
        <f t="shared" si="8"/>
        <v>18</v>
      </c>
      <c r="L32" s="44">
        <f t="shared" si="11"/>
        <v>0</v>
      </c>
      <c r="M32" s="5">
        <f t="shared" si="10"/>
        <v>0</v>
      </c>
    </row>
    <row r="33" spans="3:13" x14ac:dyDescent="0.25">
      <c r="C33">
        <f t="shared" si="4"/>
        <v>28</v>
      </c>
      <c r="D33" s="22">
        <f t="shared" si="0"/>
        <v>1.1222764937740461E-4</v>
      </c>
      <c r="E33">
        <f t="shared" si="1"/>
        <v>0.98311420854606446</v>
      </c>
      <c r="F33" s="40">
        <f t="shared" si="2"/>
        <v>0.96345192437514315</v>
      </c>
      <c r="G33" s="15">
        <f t="shared" si="3"/>
        <v>13.380420325721989</v>
      </c>
      <c r="H33" s="17">
        <f t="shared" si="5"/>
        <v>3951.9241388465111</v>
      </c>
      <c r="I33" s="4">
        <f t="shared" si="6"/>
        <v>1418.3384887626273</v>
      </c>
      <c r="J33" s="4">
        <f t="shared" si="7"/>
        <v>11</v>
      </c>
      <c r="K33">
        <f t="shared" si="8"/>
        <v>18</v>
      </c>
      <c r="L33" s="44">
        <f t="shared" si="11"/>
        <v>0</v>
      </c>
      <c r="M33" s="5">
        <f t="shared" si="10"/>
        <v>0</v>
      </c>
    </row>
    <row r="34" spans="3:13" x14ac:dyDescent="0.25">
      <c r="C34">
        <f t="shared" si="4"/>
        <v>29</v>
      </c>
      <c r="D34" s="22">
        <f t="shared" si="0"/>
        <v>7.074078989210366E-5</v>
      </c>
      <c r="E34">
        <f t="shared" si="1"/>
        <v>0.61968931945482808</v>
      </c>
      <c r="F34" s="40">
        <f t="shared" si="2"/>
        <v>0.60729553306573147</v>
      </c>
      <c r="G34" s="15">
        <f t="shared" si="3"/>
        <v>9.3704337435539582</v>
      </c>
      <c r="H34" s="17">
        <f t="shared" si="5"/>
        <v>3961.2945725900649</v>
      </c>
      <c r="I34" s="4">
        <f t="shared" si="6"/>
        <v>1418.3384887626273</v>
      </c>
      <c r="J34" s="4">
        <f t="shared" si="7"/>
        <v>11</v>
      </c>
      <c r="K34">
        <f t="shared" si="8"/>
        <v>18</v>
      </c>
      <c r="L34" s="44">
        <f t="shared" si="11"/>
        <v>0</v>
      </c>
      <c r="M34" s="5">
        <f t="shared" si="10"/>
        <v>0</v>
      </c>
    </row>
    <row r="35" spans="3:13" x14ac:dyDescent="0.25">
      <c r="C35">
        <f t="shared" si="4"/>
        <v>30</v>
      </c>
      <c r="D35" s="22">
        <f t="shared" si="0"/>
        <v>4.4111123982717612E-5</v>
      </c>
      <c r="E35">
        <f t="shared" si="1"/>
        <v>0.38641344608860628</v>
      </c>
      <c r="F35" s="40">
        <f t="shared" si="2"/>
        <v>0.37868517716683414</v>
      </c>
      <c r="G35" s="15">
        <f t="shared" si="3"/>
        <v>6.4685610875232689</v>
      </c>
      <c r="H35" s="17">
        <f t="shared" si="5"/>
        <v>3967.763133677588</v>
      </c>
      <c r="I35" s="4">
        <f t="shared" si="6"/>
        <v>1418.3384887626273</v>
      </c>
      <c r="J35" s="4">
        <f t="shared" si="7"/>
        <v>11</v>
      </c>
      <c r="K35">
        <f t="shared" si="8"/>
        <v>18</v>
      </c>
      <c r="L35" s="44">
        <f t="shared" si="11"/>
        <v>0</v>
      </c>
      <c r="M35" s="5">
        <f t="shared" si="10"/>
        <v>0</v>
      </c>
    </row>
    <row r="36" spans="3:13" x14ac:dyDescent="0.25">
      <c r="C36">
        <f t="shared" si="4"/>
        <v>31</v>
      </c>
      <c r="D36" s="22">
        <f t="shared" si="0"/>
        <v>2.7215348127567365E-5</v>
      </c>
      <c r="E36">
        <f t="shared" si="1"/>
        <v>0.23840644959749011</v>
      </c>
      <c r="F36" s="40">
        <f t="shared" si="2"/>
        <v>0.2336383206055403</v>
      </c>
      <c r="G36" s="15">
        <f t="shared" si="3"/>
        <v>4.4034672547744727</v>
      </c>
      <c r="H36" s="17">
        <f t="shared" si="5"/>
        <v>3972.1666009323626</v>
      </c>
      <c r="I36" s="4">
        <f t="shared" si="6"/>
        <v>1418.3384887626273</v>
      </c>
      <c r="J36" s="4">
        <f t="shared" si="7"/>
        <v>11</v>
      </c>
      <c r="K36">
        <f t="shared" si="8"/>
        <v>18</v>
      </c>
      <c r="L36" s="44">
        <f t="shared" si="11"/>
        <v>0</v>
      </c>
      <c r="M36" s="5">
        <f t="shared" si="10"/>
        <v>0</v>
      </c>
    </row>
    <row r="37" spans="3:13" x14ac:dyDescent="0.25">
      <c r="C37">
        <f t="shared" si="4"/>
        <v>32</v>
      </c>
      <c r="D37" s="22">
        <f t="shared" si="0"/>
        <v>1.6616591884075441E-5</v>
      </c>
      <c r="E37">
        <f t="shared" si="1"/>
        <v>0.14556134490450087</v>
      </c>
      <c r="F37" s="40">
        <f t="shared" si="2"/>
        <v>0.14265011800641086</v>
      </c>
      <c r="G37" s="15">
        <f t="shared" si="3"/>
        <v>2.9572475728950245</v>
      </c>
      <c r="H37" s="17">
        <f t="shared" si="5"/>
        <v>3975.1238485052577</v>
      </c>
      <c r="I37" s="4">
        <f t="shared" si="6"/>
        <v>1418.3384887626273</v>
      </c>
      <c r="J37" s="4">
        <f t="shared" si="7"/>
        <v>11</v>
      </c>
      <c r="K37">
        <f t="shared" si="8"/>
        <v>18</v>
      </c>
      <c r="L37" s="44">
        <f t="shared" si="11"/>
        <v>0</v>
      </c>
      <c r="M37" s="5">
        <f t="shared" si="10"/>
        <v>0</v>
      </c>
    </row>
    <row r="38" spans="3:13" x14ac:dyDescent="0.25">
      <c r="C38">
        <f t="shared" si="4"/>
        <v>33</v>
      </c>
      <c r="D38" s="22">
        <f t="shared" ref="D38:D55" si="12">D$2/J$4*(C38/J$4)^(D$2-1)/EXP((C38/J$4)^D$2)</f>
        <v>1.0041598496526006E-5</v>
      </c>
      <c r="E38">
        <f t="shared" ref="E38:E65" si="13">D38*8760</f>
        <v>8.7964402829567814E-2</v>
      </c>
      <c r="F38" s="40">
        <f t="shared" ref="F38:F55" si="14">D38*8760*$F$3</f>
        <v>8.620511477297646E-2</v>
      </c>
      <c r="G38" s="15">
        <f t="shared" ref="G38:G55" si="15">0.62*C38^3*E38/1000</f>
        <v>1.9599295815814306</v>
      </c>
      <c r="H38" s="17">
        <f t="shared" si="5"/>
        <v>3977.0837780868392</v>
      </c>
      <c r="I38" s="4">
        <f t="shared" si="6"/>
        <v>1418.3384887626273</v>
      </c>
      <c r="J38" s="4">
        <f t="shared" si="7"/>
        <v>11</v>
      </c>
      <c r="K38">
        <f t="shared" si="8"/>
        <v>18</v>
      </c>
      <c r="L38" s="44">
        <f t="shared" si="11"/>
        <v>0</v>
      </c>
      <c r="M38" s="5">
        <f t="shared" si="10"/>
        <v>0</v>
      </c>
    </row>
    <row r="39" spans="3:13" x14ac:dyDescent="0.25">
      <c r="C39">
        <f t="shared" ref="C39:C55" si="16">C38+1</f>
        <v>34</v>
      </c>
      <c r="D39" s="22">
        <f t="shared" si="12"/>
        <v>6.0070789404041947E-6</v>
      </c>
      <c r="E39">
        <f t="shared" si="13"/>
        <v>5.2622011517940742E-2</v>
      </c>
      <c r="F39" s="40">
        <f t="shared" si="14"/>
        <v>5.1569571287581925E-2</v>
      </c>
      <c r="G39" s="15">
        <f t="shared" si="15"/>
        <v>1.2823184352347086</v>
      </c>
      <c r="H39" s="17">
        <f t="shared" ref="H39:H55" si="17">H38+G39</f>
        <v>3978.3660965220738</v>
      </c>
      <c r="I39" s="4">
        <f t="shared" ref="I39:I55" si="18">IF(H38&gt;$G$67,I38,H39)</f>
        <v>1418.3384887626273</v>
      </c>
      <c r="J39" s="4">
        <f t="shared" ref="J39:J55" si="19">IF(I38&gt;$G$67,J38,C39)</f>
        <v>11</v>
      </c>
      <c r="K39">
        <f t="shared" ref="K39:K55" si="20">IF(H38&gt;$G$68,K38,C39)</f>
        <v>18</v>
      </c>
      <c r="L39" s="44">
        <f t="shared" si="11"/>
        <v>0</v>
      </c>
      <c r="M39" s="5">
        <f t="shared" si="10"/>
        <v>0</v>
      </c>
    </row>
    <row r="40" spans="3:13" x14ac:dyDescent="0.25">
      <c r="C40">
        <f t="shared" si="16"/>
        <v>35</v>
      </c>
      <c r="D40" s="22">
        <f t="shared" si="12"/>
        <v>3.5578423160112357E-6</v>
      </c>
      <c r="E40">
        <f t="shared" si="13"/>
        <v>3.1166698688258426E-2</v>
      </c>
      <c r="F40" s="40">
        <f t="shared" si="14"/>
        <v>3.0543364714493256E-2</v>
      </c>
      <c r="G40" s="15">
        <f t="shared" si="15"/>
        <v>0.82848876788062953</v>
      </c>
      <c r="H40" s="17">
        <f t="shared" si="17"/>
        <v>3979.1945852899544</v>
      </c>
      <c r="I40" s="4">
        <f t="shared" si="18"/>
        <v>1418.3384887626273</v>
      </c>
      <c r="J40" s="4">
        <f t="shared" si="19"/>
        <v>11</v>
      </c>
      <c r="K40">
        <f t="shared" si="20"/>
        <v>18</v>
      </c>
      <c r="L40" s="44">
        <f t="shared" si="11"/>
        <v>0</v>
      </c>
      <c r="M40" s="5">
        <f t="shared" si="10"/>
        <v>0</v>
      </c>
    </row>
    <row r="41" spans="3:13" x14ac:dyDescent="0.25">
      <c r="C41">
        <f t="shared" si="16"/>
        <v>36</v>
      </c>
      <c r="D41" s="22">
        <f t="shared" si="12"/>
        <v>2.0865703858688759E-6</v>
      </c>
      <c r="E41">
        <f t="shared" si="13"/>
        <v>1.8278356580211354E-2</v>
      </c>
      <c r="F41" s="40">
        <f t="shared" si="14"/>
        <v>1.7912789448607126E-2</v>
      </c>
      <c r="G41" s="15">
        <f t="shared" si="15"/>
        <v>0.52873290285593133</v>
      </c>
      <c r="H41" s="17">
        <f t="shared" si="17"/>
        <v>3979.7233181928104</v>
      </c>
      <c r="I41" s="4">
        <f t="shared" si="18"/>
        <v>1418.3384887626273</v>
      </c>
      <c r="J41" s="4">
        <f t="shared" si="19"/>
        <v>11</v>
      </c>
      <c r="K41">
        <f t="shared" si="20"/>
        <v>18</v>
      </c>
      <c r="L41" s="44">
        <f t="shared" si="11"/>
        <v>0</v>
      </c>
      <c r="M41" s="5">
        <f t="shared" si="10"/>
        <v>0</v>
      </c>
    </row>
    <row r="42" spans="3:13" x14ac:dyDescent="0.25">
      <c r="C42">
        <f t="shared" si="16"/>
        <v>37</v>
      </c>
      <c r="D42" s="22">
        <f t="shared" si="12"/>
        <v>1.2118798913765608E-6</v>
      </c>
      <c r="E42">
        <f t="shared" si="13"/>
        <v>1.0616067848458673E-2</v>
      </c>
      <c r="F42" s="40">
        <f t="shared" si="14"/>
        <v>1.0403746491489499E-2</v>
      </c>
      <c r="G42" s="15">
        <f t="shared" si="15"/>
        <v>0.33339612453134582</v>
      </c>
      <c r="H42" s="17">
        <f t="shared" si="17"/>
        <v>3980.0567143173416</v>
      </c>
      <c r="I42" s="4">
        <f t="shared" si="18"/>
        <v>1418.3384887626273</v>
      </c>
      <c r="J42" s="4">
        <f t="shared" si="19"/>
        <v>11</v>
      </c>
      <c r="K42">
        <f t="shared" si="20"/>
        <v>18</v>
      </c>
      <c r="L42" s="44">
        <f t="shared" si="11"/>
        <v>0</v>
      </c>
      <c r="M42" s="5">
        <f t="shared" si="10"/>
        <v>0</v>
      </c>
    </row>
    <row r="43" spans="3:13" x14ac:dyDescent="0.25">
      <c r="C43">
        <f t="shared" si="16"/>
        <v>38</v>
      </c>
      <c r="D43" s="22">
        <f t="shared" si="12"/>
        <v>6.9714137047385014E-7</v>
      </c>
      <c r="E43">
        <f t="shared" si="13"/>
        <v>6.1069584053509273E-3</v>
      </c>
      <c r="F43" s="40">
        <f t="shared" si="14"/>
        <v>5.9848192372439083E-3</v>
      </c>
      <c r="G43" s="15">
        <f t="shared" si="15"/>
        <v>0.20776263340341797</v>
      </c>
      <c r="H43" s="17">
        <f t="shared" si="17"/>
        <v>3980.2644769507451</v>
      </c>
      <c r="I43" s="4">
        <f t="shared" si="18"/>
        <v>1418.3384887626273</v>
      </c>
      <c r="J43" s="4">
        <f t="shared" si="19"/>
        <v>11</v>
      </c>
      <c r="K43">
        <f t="shared" si="20"/>
        <v>18</v>
      </c>
      <c r="L43" s="44">
        <f t="shared" si="11"/>
        <v>0</v>
      </c>
      <c r="M43" s="5">
        <f t="shared" si="10"/>
        <v>0</v>
      </c>
    </row>
    <row r="44" spans="3:13" x14ac:dyDescent="0.25">
      <c r="C44">
        <f t="shared" si="16"/>
        <v>39</v>
      </c>
      <c r="D44" s="22">
        <f t="shared" si="12"/>
        <v>3.9725460892713826E-7</v>
      </c>
      <c r="E44">
        <f t="shared" si="13"/>
        <v>3.4799503742017311E-3</v>
      </c>
      <c r="F44" s="40">
        <f t="shared" si="14"/>
        <v>3.4103513667176964E-3</v>
      </c>
      <c r="G44" s="15">
        <f t="shared" si="15"/>
        <v>0.12798484927330894</v>
      </c>
      <c r="H44" s="17">
        <f t="shared" si="17"/>
        <v>3980.3924618000183</v>
      </c>
      <c r="I44" s="4">
        <f t="shared" si="18"/>
        <v>1418.3384887626273</v>
      </c>
      <c r="J44" s="4">
        <f t="shared" si="19"/>
        <v>11</v>
      </c>
      <c r="K44">
        <f t="shared" si="20"/>
        <v>18</v>
      </c>
      <c r="L44" s="44">
        <f t="shared" si="11"/>
        <v>0</v>
      </c>
      <c r="M44" s="5">
        <f t="shared" si="10"/>
        <v>0</v>
      </c>
    </row>
    <row r="45" spans="3:13" x14ac:dyDescent="0.25">
      <c r="C45">
        <f t="shared" si="16"/>
        <v>40</v>
      </c>
      <c r="D45" s="22">
        <f t="shared" si="12"/>
        <v>2.2426094256211629E-7</v>
      </c>
      <c r="E45">
        <f t="shared" si="13"/>
        <v>1.9645258568441386E-3</v>
      </c>
      <c r="F45" s="40">
        <f t="shared" si="14"/>
        <v>1.9252353397072558E-3</v>
      </c>
      <c r="G45" s="15">
        <f t="shared" si="15"/>
        <v>7.7952385999575408E-2</v>
      </c>
      <c r="H45" s="17">
        <f t="shared" si="17"/>
        <v>3980.4704141860179</v>
      </c>
      <c r="I45" s="4">
        <f t="shared" si="18"/>
        <v>1418.3384887626273</v>
      </c>
      <c r="J45" s="4">
        <f t="shared" si="19"/>
        <v>11</v>
      </c>
      <c r="K45">
        <f t="shared" si="20"/>
        <v>18</v>
      </c>
      <c r="L45" s="44">
        <f t="shared" si="11"/>
        <v>0</v>
      </c>
      <c r="M45" s="5">
        <f t="shared" si="10"/>
        <v>0</v>
      </c>
    </row>
    <row r="46" spans="3:13" x14ac:dyDescent="0.25">
      <c r="C46">
        <f t="shared" si="16"/>
        <v>41</v>
      </c>
      <c r="D46" s="22">
        <f t="shared" si="12"/>
        <v>1.2543612745759377E-7</v>
      </c>
      <c r="E46">
        <f t="shared" si="13"/>
        <v>1.0988204765285214E-3</v>
      </c>
      <c r="F46" s="40">
        <f t="shared" si="14"/>
        <v>1.076844066997951E-3</v>
      </c>
      <c r="G46" s="15">
        <f t="shared" si="15"/>
        <v>4.6953719758949776E-2</v>
      </c>
      <c r="H46" s="17">
        <f t="shared" si="17"/>
        <v>3980.5173679057771</v>
      </c>
      <c r="I46" s="4">
        <f t="shared" si="18"/>
        <v>1418.3384887626273</v>
      </c>
      <c r="J46" s="4">
        <f t="shared" si="19"/>
        <v>11</v>
      </c>
      <c r="K46">
        <f t="shared" si="20"/>
        <v>18</v>
      </c>
      <c r="L46" s="44">
        <f t="shared" si="11"/>
        <v>0</v>
      </c>
      <c r="M46" s="5">
        <f t="shared" si="10"/>
        <v>0</v>
      </c>
    </row>
    <row r="47" spans="3:13" x14ac:dyDescent="0.25">
      <c r="C47">
        <f t="shared" si="16"/>
        <v>42</v>
      </c>
      <c r="D47" s="22">
        <f t="shared" si="12"/>
        <v>6.952190324187555E-8</v>
      </c>
      <c r="E47">
        <f t="shared" si="13"/>
        <v>6.0901187239882984E-4</v>
      </c>
      <c r="F47" s="40">
        <f t="shared" si="14"/>
        <v>5.9683163495085321E-4</v>
      </c>
      <c r="G47" s="15">
        <f t="shared" si="15"/>
        <v>2.7974692393416389E-2</v>
      </c>
      <c r="H47" s="17">
        <f t="shared" si="17"/>
        <v>3980.5453425981705</v>
      </c>
      <c r="I47" s="4">
        <f t="shared" si="18"/>
        <v>1418.3384887626273</v>
      </c>
      <c r="J47" s="4">
        <f t="shared" si="19"/>
        <v>11</v>
      </c>
      <c r="K47">
        <f t="shared" si="20"/>
        <v>18</v>
      </c>
      <c r="L47" s="44">
        <f t="shared" si="11"/>
        <v>0</v>
      </c>
      <c r="M47" s="5">
        <f t="shared" si="10"/>
        <v>0</v>
      </c>
    </row>
    <row r="48" spans="3:13" x14ac:dyDescent="0.25">
      <c r="C48">
        <f t="shared" si="16"/>
        <v>43</v>
      </c>
      <c r="D48" s="22">
        <f t="shared" si="12"/>
        <v>3.8185157564439199E-8</v>
      </c>
      <c r="E48">
        <f t="shared" si="13"/>
        <v>3.3450198026448738E-4</v>
      </c>
      <c r="F48" s="40">
        <f t="shared" si="14"/>
        <v>3.2781194065919763E-4</v>
      </c>
      <c r="G48" s="15">
        <f t="shared" si="15"/>
        <v>1.6489054345830929E-2</v>
      </c>
      <c r="H48" s="17">
        <f t="shared" si="17"/>
        <v>3980.5618316525165</v>
      </c>
      <c r="I48" s="4">
        <f t="shared" si="18"/>
        <v>1418.3384887626273</v>
      </c>
      <c r="J48" s="4">
        <f t="shared" si="19"/>
        <v>11</v>
      </c>
      <c r="K48">
        <f t="shared" si="20"/>
        <v>18</v>
      </c>
      <c r="L48" s="44">
        <f t="shared" si="11"/>
        <v>0</v>
      </c>
      <c r="M48" s="5">
        <f t="shared" si="10"/>
        <v>0</v>
      </c>
    </row>
    <row r="49" spans="3:17" x14ac:dyDescent="0.25">
      <c r="C49">
        <f t="shared" si="16"/>
        <v>44</v>
      </c>
      <c r="D49" s="22">
        <f t="shared" si="12"/>
        <v>2.0786608403044018E-8</v>
      </c>
      <c r="E49">
        <f t="shared" si="13"/>
        <v>1.820906896106656E-4</v>
      </c>
      <c r="F49" s="40">
        <f t="shared" si="14"/>
        <v>1.7844887581845229E-4</v>
      </c>
      <c r="G49" s="15">
        <f t="shared" si="15"/>
        <v>9.6169522483528606E-3</v>
      </c>
      <c r="H49" s="17">
        <f t="shared" si="17"/>
        <v>3980.571448604765</v>
      </c>
      <c r="I49" s="4">
        <f t="shared" si="18"/>
        <v>1418.3384887626273</v>
      </c>
      <c r="J49" s="4">
        <f t="shared" si="19"/>
        <v>11</v>
      </c>
      <c r="K49">
        <f t="shared" si="20"/>
        <v>18</v>
      </c>
      <c r="L49" s="44">
        <f t="shared" si="11"/>
        <v>0</v>
      </c>
      <c r="M49" s="5">
        <f t="shared" si="10"/>
        <v>0</v>
      </c>
    </row>
    <row r="50" spans="3:17" x14ac:dyDescent="0.25">
      <c r="C50">
        <f t="shared" si="16"/>
        <v>45</v>
      </c>
      <c r="D50" s="22">
        <f t="shared" si="12"/>
        <v>1.1215777818594729E-8</v>
      </c>
      <c r="E50">
        <f t="shared" si="13"/>
        <v>9.8250213690889829E-5</v>
      </c>
      <c r="F50" s="40">
        <f t="shared" si="14"/>
        <v>9.6285209417072026E-5</v>
      </c>
      <c r="G50" s="15">
        <f t="shared" si="15"/>
        <v>5.5508914480010482E-3</v>
      </c>
      <c r="H50" s="17">
        <f t="shared" si="17"/>
        <v>3980.5769994962129</v>
      </c>
      <c r="I50" s="4">
        <f t="shared" si="18"/>
        <v>1418.3384887626273</v>
      </c>
      <c r="J50" s="4">
        <f t="shared" si="19"/>
        <v>11</v>
      </c>
      <c r="K50">
        <f t="shared" si="20"/>
        <v>18</v>
      </c>
      <c r="L50" s="44">
        <f t="shared" si="11"/>
        <v>0</v>
      </c>
      <c r="M50" s="5">
        <f t="shared" si="10"/>
        <v>0</v>
      </c>
    </row>
    <row r="51" spans="3:17" x14ac:dyDescent="0.25">
      <c r="C51">
        <f t="shared" si="16"/>
        <v>46</v>
      </c>
      <c r="D51" s="22">
        <f t="shared" si="12"/>
        <v>5.9988912163070458E-9</v>
      </c>
      <c r="E51">
        <f t="shared" si="13"/>
        <v>5.2550287054849722E-5</v>
      </c>
      <c r="F51" s="40">
        <f t="shared" si="14"/>
        <v>5.1499281313752725E-5</v>
      </c>
      <c r="G51" s="15">
        <f t="shared" si="15"/>
        <v>3.1713215392779283E-3</v>
      </c>
      <c r="H51" s="17">
        <f t="shared" si="17"/>
        <v>3980.5801708177523</v>
      </c>
      <c r="I51" s="4">
        <f t="shared" si="18"/>
        <v>1418.3384887626273</v>
      </c>
      <c r="J51" s="4">
        <f t="shared" si="19"/>
        <v>11</v>
      </c>
      <c r="K51">
        <f t="shared" si="20"/>
        <v>18</v>
      </c>
      <c r="L51" s="44">
        <f t="shared" si="11"/>
        <v>0</v>
      </c>
      <c r="M51" s="5">
        <f t="shared" si="10"/>
        <v>0</v>
      </c>
    </row>
    <row r="52" spans="3:17" x14ac:dyDescent="0.25">
      <c r="C52">
        <f t="shared" si="16"/>
        <v>47</v>
      </c>
      <c r="D52" s="22">
        <f t="shared" si="12"/>
        <v>3.1808714153519511E-9</v>
      </c>
      <c r="E52">
        <f t="shared" si="13"/>
        <v>2.7864433598483093E-5</v>
      </c>
      <c r="F52" s="40">
        <f t="shared" si="14"/>
        <v>2.7307144926513432E-5</v>
      </c>
      <c r="G52" s="15">
        <f t="shared" si="15"/>
        <v>1.7936408354870923E-3</v>
      </c>
      <c r="H52" s="17">
        <f t="shared" si="17"/>
        <v>3980.5819644585877</v>
      </c>
      <c r="I52" s="4">
        <f t="shared" si="18"/>
        <v>1418.3384887626273</v>
      </c>
      <c r="J52" s="4">
        <f t="shared" si="19"/>
        <v>11</v>
      </c>
      <c r="K52">
        <f t="shared" si="20"/>
        <v>18</v>
      </c>
      <c r="L52" s="44">
        <f t="shared" si="11"/>
        <v>0</v>
      </c>
      <c r="M52" s="5">
        <f t="shared" si="10"/>
        <v>0</v>
      </c>
    </row>
    <row r="53" spans="3:17" x14ac:dyDescent="0.25">
      <c r="C53">
        <f t="shared" si="16"/>
        <v>48</v>
      </c>
      <c r="D53" s="22">
        <f t="shared" si="12"/>
        <v>1.6722113821624184E-9</v>
      </c>
      <c r="E53">
        <f t="shared" si="13"/>
        <v>1.4648571707742785E-5</v>
      </c>
      <c r="F53" s="40">
        <f t="shared" si="14"/>
        <v>1.4355600273587929E-5</v>
      </c>
      <c r="G53" s="15">
        <f t="shared" si="15"/>
        <v>1.0044092022276679E-3</v>
      </c>
      <c r="H53" s="17">
        <f t="shared" si="17"/>
        <v>3980.58296886779</v>
      </c>
      <c r="I53" s="4">
        <f t="shared" si="18"/>
        <v>1418.3384887626273</v>
      </c>
      <c r="J53" s="4">
        <f t="shared" si="19"/>
        <v>11</v>
      </c>
      <c r="K53">
        <f t="shared" si="20"/>
        <v>18</v>
      </c>
      <c r="L53" s="44">
        <f t="shared" si="11"/>
        <v>0</v>
      </c>
      <c r="M53" s="5">
        <f t="shared" si="10"/>
        <v>0</v>
      </c>
    </row>
    <row r="54" spans="3:17" x14ac:dyDescent="0.25">
      <c r="C54">
        <f t="shared" si="16"/>
        <v>49</v>
      </c>
      <c r="D54" s="22">
        <f t="shared" si="12"/>
        <v>8.7164838930683179E-10</v>
      </c>
      <c r="E54">
        <f t="shared" si="13"/>
        <v>7.6356398903278473E-6</v>
      </c>
      <c r="F54" s="40">
        <f t="shared" si="14"/>
        <v>7.4829270925212899E-6</v>
      </c>
      <c r="G54" s="15">
        <f t="shared" si="15"/>
        <v>5.5696174642345215E-4</v>
      </c>
      <c r="H54" s="17">
        <f t="shared" si="17"/>
        <v>3980.5835258295365</v>
      </c>
      <c r="I54" s="4">
        <f t="shared" si="18"/>
        <v>1418.3384887626273</v>
      </c>
      <c r="J54" s="4">
        <f t="shared" si="19"/>
        <v>11</v>
      </c>
      <c r="K54">
        <f t="shared" si="20"/>
        <v>18</v>
      </c>
      <c r="L54" s="44">
        <f t="shared" si="11"/>
        <v>0</v>
      </c>
      <c r="M54" s="5">
        <f t="shared" si="10"/>
        <v>0</v>
      </c>
    </row>
    <row r="55" spans="3:17" x14ac:dyDescent="0.25">
      <c r="C55">
        <f t="shared" si="16"/>
        <v>50</v>
      </c>
      <c r="D55" s="22">
        <f t="shared" si="12"/>
        <v>4.5053711914726801E-10</v>
      </c>
      <c r="E55">
        <f t="shared" si="13"/>
        <v>3.9467051637300679E-6</v>
      </c>
      <c r="F55" s="40">
        <f t="shared" si="14"/>
        <v>3.8677710604554667E-6</v>
      </c>
      <c r="G55" s="15">
        <f t="shared" si="15"/>
        <v>3.0586965018908026E-4</v>
      </c>
      <c r="H55" s="17">
        <f t="shared" si="17"/>
        <v>3980.5838316991867</v>
      </c>
      <c r="I55" s="4">
        <f t="shared" si="18"/>
        <v>1418.3384887626273</v>
      </c>
      <c r="J55" s="4">
        <f t="shared" si="19"/>
        <v>11</v>
      </c>
      <c r="K55">
        <f t="shared" si="20"/>
        <v>18</v>
      </c>
      <c r="L55" s="44">
        <f t="shared" si="11"/>
        <v>0</v>
      </c>
      <c r="M55" s="5">
        <f t="shared" si="10"/>
        <v>0</v>
      </c>
    </row>
    <row r="56" spans="3:17" x14ac:dyDescent="0.25">
      <c r="C56">
        <f t="shared" ref="C56:C65" si="21">C55+1</f>
        <v>51</v>
      </c>
      <c r="D56" s="22">
        <f t="shared" ref="D56:D65" si="22">D$2/J$4*(C56/J$4)^(D$2-1)/EXP((C56/J$4)^D$2)</f>
        <v>2.3093608862955532E-10</v>
      </c>
      <c r="E56">
        <f t="shared" si="13"/>
        <v>2.0230001363949046E-6</v>
      </c>
      <c r="F56" s="40">
        <f t="shared" ref="F56:F65" si="23">D56*8760*$F$3</f>
        <v>1.9825401336670065E-6</v>
      </c>
      <c r="G56" s="15">
        <f t="shared" ref="G56:G65" si="24">0.62*C56^3*E56/1000</f>
        <v>1.663788544776107E-4</v>
      </c>
      <c r="H56" s="17">
        <f t="shared" ref="H56:H65" si="25">H55+G56</f>
        <v>3980.5839980780411</v>
      </c>
      <c r="I56" s="4">
        <f t="shared" ref="I56:I65" si="26">IF(H55&gt;$G$67,I55,H56)</f>
        <v>1418.3384887626273</v>
      </c>
      <c r="J56" s="4">
        <f t="shared" ref="J56:J65" si="27">IF(I55&gt;$G$67,J55,C56)</f>
        <v>11</v>
      </c>
      <c r="K56">
        <f t="shared" ref="K56:K65" si="28">IF(H55&gt;$G$68,K55,C56)</f>
        <v>18</v>
      </c>
      <c r="L56" s="44">
        <f t="shared" si="11"/>
        <v>0</v>
      </c>
      <c r="M56" s="5">
        <f t="shared" si="10"/>
        <v>0</v>
      </c>
    </row>
    <row r="57" spans="3:17" x14ac:dyDescent="0.25">
      <c r="C57">
        <f t="shared" si="21"/>
        <v>52</v>
      </c>
      <c r="D57" s="22">
        <f t="shared" si="22"/>
        <v>1.1739696504594585E-10</v>
      </c>
      <c r="E57">
        <f t="shared" si="13"/>
        <v>1.0283974138024856E-6</v>
      </c>
      <c r="F57" s="40">
        <f t="shared" si="23"/>
        <v>1.0078294655264358E-6</v>
      </c>
      <c r="G57" s="15">
        <f t="shared" si="24"/>
        <v>8.9652560207162738E-5</v>
      </c>
      <c r="H57" s="17">
        <f t="shared" si="25"/>
        <v>3980.5840877306014</v>
      </c>
      <c r="I57" s="4">
        <f t="shared" si="26"/>
        <v>1418.3384887626273</v>
      </c>
      <c r="J57" s="4">
        <f t="shared" si="27"/>
        <v>11</v>
      </c>
      <c r="K57">
        <f t="shared" si="28"/>
        <v>18</v>
      </c>
      <c r="L57" s="44">
        <f t="shared" si="11"/>
        <v>0</v>
      </c>
      <c r="M57" s="5">
        <f t="shared" si="10"/>
        <v>0</v>
      </c>
      <c r="N57" s="18" t="s">
        <v>39</v>
      </c>
      <c r="O57" s="11">
        <f>D2</f>
        <v>1.6</v>
      </c>
      <c r="Q57" t="s">
        <v>38</v>
      </c>
    </row>
    <row r="58" spans="3:17" x14ac:dyDescent="0.25">
      <c r="C58">
        <f t="shared" si="21"/>
        <v>53</v>
      </c>
      <c r="D58" s="22">
        <f t="shared" si="22"/>
        <v>5.9191130915551753E-11</v>
      </c>
      <c r="E58">
        <f t="shared" si="13"/>
        <v>5.1851430682023336E-7</v>
      </c>
      <c r="F58" s="40">
        <f t="shared" si="23"/>
        <v>5.0814402068382872E-7</v>
      </c>
      <c r="G58" s="15">
        <f t="shared" si="24"/>
        <v>4.786080976301505E-5</v>
      </c>
      <c r="H58" s="17">
        <f t="shared" si="25"/>
        <v>3980.5841355914113</v>
      </c>
      <c r="I58" s="4">
        <f t="shared" si="26"/>
        <v>1418.3384887626273</v>
      </c>
      <c r="J58" s="4">
        <f t="shared" si="27"/>
        <v>11</v>
      </c>
      <c r="K58">
        <f t="shared" si="28"/>
        <v>18</v>
      </c>
      <c r="L58" s="44">
        <f t="shared" si="11"/>
        <v>0</v>
      </c>
      <c r="M58" s="5">
        <f t="shared" si="10"/>
        <v>0</v>
      </c>
      <c r="N58" s="18" t="s">
        <v>37</v>
      </c>
      <c r="O58" s="11">
        <f>D3</f>
        <v>6.6549951172249653</v>
      </c>
      <c r="Q58" t="s">
        <v>36</v>
      </c>
    </row>
    <row r="59" spans="3:17" x14ac:dyDescent="0.25">
      <c r="C59">
        <f t="shared" si="21"/>
        <v>54</v>
      </c>
      <c r="D59" s="22">
        <f t="shared" si="22"/>
        <v>2.96019994403811E-11</v>
      </c>
      <c r="E59">
        <f t="shared" si="13"/>
        <v>2.5931351509773845E-7</v>
      </c>
      <c r="F59" s="40">
        <f t="shared" si="23"/>
        <v>2.5412724479578366E-7</v>
      </c>
      <c r="G59" s="15">
        <f t="shared" si="24"/>
        <v>2.5316176871637175E-5</v>
      </c>
      <c r="H59" s="17">
        <f t="shared" si="25"/>
        <v>3980.5841609075883</v>
      </c>
      <c r="I59" s="4">
        <f t="shared" si="26"/>
        <v>1418.3384887626273</v>
      </c>
      <c r="J59" s="4">
        <f t="shared" si="27"/>
        <v>11</v>
      </c>
      <c r="K59">
        <f t="shared" si="28"/>
        <v>18</v>
      </c>
      <c r="L59" s="44">
        <f t="shared" si="11"/>
        <v>0</v>
      </c>
      <c r="M59" s="5">
        <f t="shared" si="10"/>
        <v>0</v>
      </c>
    </row>
    <row r="60" spans="3:17" x14ac:dyDescent="0.25">
      <c r="C60">
        <f t="shared" si="21"/>
        <v>55</v>
      </c>
      <c r="D60" s="22">
        <f t="shared" si="22"/>
        <v>1.4685175649510275E-11</v>
      </c>
      <c r="E60">
        <f t="shared" si="13"/>
        <v>1.2864213868971002E-7</v>
      </c>
      <c r="F60" s="40">
        <f t="shared" si="23"/>
        <v>1.2606929591591581E-7</v>
      </c>
      <c r="G60" s="15">
        <f t="shared" si="24"/>
        <v>1.3269758211190313E-5</v>
      </c>
      <c r="H60" s="17">
        <f t="shared" si="25"/>
        <v>3980.5841741773465</v>
      </c>
      <c r="I60" s="4">
        <f t="shared" si="26"/>
        <v>1418.3384887626273</v>
      </c>
      <c r="J60" s="4">
        <f t="shared" si="27"/>
        <v>11</v>
      </c>
      <c r="K60">
        <f t="shared" si="28"/>
        <v>18</v>
      </c>
      <c r="L60" s="44">
        <f t="shared" si="11"/>
        <v>0</v>
      </c>
      <c r="M60" s="5">
        <f t="shared" si="10"/>
        <v>0</v>
      </c>
      <c r="N60" t="s">
        <v>35</v>
      </c>
      <c r="O60" s="4">
        <f>J55</f>
        <v>11</v>
      </c>
      <c r="P60" s="15"/>
    </row>
    <row r="61" spans="3:17" x14ac:dyDescent="0.25">
      <c r="C61">
        <f t="shared" si="21"/>
        <v>56</v>
      </c>
      <c r="D61" s="22">
        <f t="shared" si="22"/>
        <v>7.2270181643616437E-12</v>
      </c>
      <c r="E61">
        <f t="shared" si="13"/>
        <v>6.3308679119807994E-8</v>
      </c>
      <c r="F61" s="40">
        <f t="shared" si="23"/>
        <v>6.2042505537411832E-8</v>
      </c>
      <c r="G61" s="15">
        <f t="shared" si="24"/>
        <v>6.8931705352286039E-6</v>
      </c>
      <c r="H61" s="17">
        <f t="shared" si="25"/>
        <v>3980.5841810705169</v>
      </c>
      <c r="I61" s="4">
        <f t="shared" si="26"/>
        <v>1418.3384887626273</v>
      </c>
      <c r="J61" s="4">
        <f t="shared" si="27"/>
        <v>11</v>
      </c>
      <c r="K61">
        <f t="shared" si="28"/>
        <v>18</v>
      </c>
      <c r="L61" s="44">
        <f t="shared" si="11"/>
        <v>0</v>
      </c>
      <c r="M61" s="5">
        <f t="shared" si="10"/>
        <v>0</v>
      </c>
      <c r="N61" t="s">
        <v>34</v>
      </c>
      <c r="O61">
        <f>K55</f>
        <v>18</v>
      </c>
      <c r="P61" s="15"/>
    </row>
    <row r="62" spans="3:17" x14ac:dyDescent="0.25">
      <c r="C62">
        <f t="shared" si="21"/>
        <v>57</v>
      </c>
      <c r="D62" s="22">
        <f t="shared" si="22"/>
        <v>3.5284864943724452E-12</v>
      </c>
      <c r="E62">
        <f t="shared" si="13"/>
        <v>3.090954169070262E-8</v>
      </c>
      <c r="F62" s="40">
        <f t="shared" si="23"/>
        <v>3.0291350856888568E-8</v>
      </c>
      <c r="G62" s="15">
        <f t="shared" si="24"/>
        <v>3.5490230676823E-6</v>
      </c>
      <c r="H62" s="17">
        <f t="shared" si="25"/>
        <v>3980.5841846195399</v>
      </c>
      <c r="I62" s="4">
        <f t="shared" si="26"/>
        <v>1418.3384887626273</v>
      </c>
      <c r="J62" s="4">
        <f t="shared" si="27"/>
        <v>11</v>
      </c>
      <c r="K62">
        <f t="shared" si="28"/>
        <v>18</v>
      </c>
      <c r="L62" s="44">
        <f t="shared" si="11"/>
        <v>0</v>
      </c>
      <c r="M62" s="5">
        <f t="shared" si="10"/>
        <v>0</v>
      </c>
    </row>
    <row r="63" spans="3:17" x14ac:dyDescent="0.25">
      <c r="C63">
        <f t="shared" si="21"/>
        <v>58</v>
      </c>
      <c r="D63" s="22">
        <f t="shared" si="22"/>
        <v>1.7092033500312367E-12</v>
      </c>
      <c r="E63">
        <f t="shared" si="13"/>
        <v>1.4972621346273633E-8</v>
      </c>
      <c r="F63" s="40">
        <f t="shared" si="23"/>
        <v>1.4673168919348159E-8</v>
      </c>
      <c r="G63" s="15">
        <f t="shared" si="24"/>
        <v>1.8112296195907675E-6</v>
      </c>
      <c r="H63" s="17">
        <f t="shared" si="25"/>
        <v>3980.5841864307695</v>
      </c>
      <c r="I63" s="4">
        <f t="shared" si="26"/>
        <v>1418.3384887626273</v>
      </c>
      <c r="J63" s="4">
        <f t="shared" si="27"/>
        <v>11</v>
      </c>
      <c r="K63">
        <f t="shared" si="28"/>
        <v>18</v>
      </c>
      <c r="L63" s="44">
        <f t="shared" si="11"/>
        <v>0</v>
      </c>
      <c r="M63" s="5">
        <f t="shared" si="10"/>
        <v>0</v>
      </c>
    </row>
    <row r="64" spans="3:17" x14ac:dyDescent="0.25">
      <c r="C64">
        <f t="shared" si="21"/>
        <v>59</v>
      </c>
      <c r="D64" s="22">
        <f t="shared" si="22"/>
        <v>8.2148738637738815E-13</v>
      </c>
      <c r="E64">
        <f t="shared" si="13"/>
        <v>7.1962295046659198E-9</v>
      </c>
      <c r="F64" s="40">
        <f t="shared" si="23"/>
        <v>7.052304914572601E-9</v>
      </c>
      <c r="G64" s="15">
        <f t="shared" si="24"/>
        <v>9.1633174005204473E-7</v>
      </c>
      <c r="H64" s="17">
        <f t="shared" si="25"/>
        <v>3980.5841873471013</v>
      </c>
      <c r="I64" s="4">
        <f t="shared" si="26"/>
        <v>1418.3384887626273</v>
      </c>
      <c r="J64" s="4">
        <f t="shared" si="27"/>
        <v>11</v>
      </c>
      <c r="K64">
        <f t="shared" si="28"/>
        <v>18</v>
      </c>
      <c r="L64" s="44">
        <f t="shared" si="11"/>
        <v>0</v>
      </c>
      <c r="M64" s="5">
        <f t="shared" si="10"/>
        <v>0</v>
      </c>
    </row>
    <row r="65" spans="3:13" x14ac:dyDescent="0.25">
      <c r="C65">
        <f t="shared" si="21"/>
        <v>60</v>
      </c>
      <c r="D65" s="22">
        <f t="shared" si="22"/>
        <v>3.9177361659202046E-13</v>
      </c>
      <c r="E65">
        <f t="shared" si="13"/>
        <v>3.4319368813460993E-9</v>
      </c>
      <c r="F65" s="40">
        <f t="shared" si="23"/>
        <v>3.3632981437191775E-9</v>
      </c>
      <c r="G65" s="15">
        <f t="shared" si="24"/>
        <v>4.5960498714986961E-7</v>
      </c>
      <c r="H65" s="17">
        <f t="shared" si="25"/>
        <v>3980.5841878067063</v>
      </c>
      <c r="I65" s="4">
        <f t="shared" si="26"/>
        <v>1418.3384887626273</v>
      </c>
      <c r="J65" s="4">
        <f>IF(I64&gt;$G$67,J64,C65)</f>
        <v>11</v>
      </c>
      <c r="K65">
        <f t="shared" si="28"/>
        <v>18</v>
      </c>
      <c r="L65" s="44">
        <f t="shared" si="11"/>
        <v>0</v>
      </c>
      <c r="M65" s="5">
        <f t="shared" si="10"/>
        <v>0</v>
      </c>
    </row>
    <row r="66" spans="3:13" x14ac:dyDescent="0.25">
      <c r="C66" s="21" t="s">
        <v>41</v>
      </c>
      <c r="D66" s="20">
        <f>SUM(D6:D65)</f>
        <v>0.98869757422857729</v>
      </c>
      <c r="E66" s="19">
        <f>SUM(E6:E65)</f>
        <v>8660.9907502423303</v>
      </c>
      <c r="F66" s="41">
        <f>SUM(F6:F65)</f>
        <v>8487.7709352374877</v>
      </c>
      <c r="G66" s="19">
        <f>SUM(G6:G65)</f>
        <v>3980.5841878067063</v>
      </c>
      <c r="K66" t="s">
        <v>89</v>
      </c>
      <c r="L66" s="45">
        <f>SUM(L6:L65)/1000</f>
        <v>1019.7695314313576</v>
      </c>
      <c r="M66" t="s">
        <v>90</v>
      </c>
    </row>
    <row r="67" spans="3:13" x14ac:dyDescent="0.25">
      <c r="F67" s="37" t="s">
        <v>40</v>
      </c>
      <c r="G67" s="17">
        <f>G66/3</f>
        <v>1326.8613959355687</v>
      </c>
    </row>
    <row r="68" spans="3:13" x14ac:dyDescent="0.25">
      <c r="F68" s="42">
        <v>0.8</v>
      </c>
      <c r="G68" s="17">
        <f>G66*0.8</f>
        <v>3184.4673502453652</v>
      </c>
    </row>
  </sheetData>
  <conditionalFormatting sqref="H6:H65">
    <cfRule type="cellIs" dxfId="0" priority="1" operator="lessThan">
      <formula>$G$67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27</xdr:col>
                <xdr:colOff>9525</xdr:colOff>
                <xdr:row>1</xdr:row>
                <xdr:rowOff>171450</xdr:rowOff>
              </from>
              <to>
                <xdr:col>28</xdr:col>
                <xdr:colOff>485775</xdr:colOff>
                <xdr:row>6</xdr:row>
                <xdr:rowOff>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Weibul (2)</vt:lpstr>
    </vt:vector>
  </TitlesOfParts>
  <Company>Avd. för elektricitetslära UU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Bernhoff</dc:creator>
  <cp:lastModifiedBy>Hans Bernhoff</cp:lastModifiedBy>
  <cp:lastPrinted>2026-02-13T11:43:59Z</cp:lastPrinted>
  <dcterms:created xsi:type="dcterms:W3CDTF">2018-01-26T12:32:00Z</dcterms:created>
  <dcterms:modified xsi:type="dcterms:W3CDTF">2026-06-03T09:28:44Z</dcterms:modified>
</cp:coreProperties>
</file>